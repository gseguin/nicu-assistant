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<sst xmlns="http://schemas.openxmlformats.org/spreadsheetml/2006/main" count="20" uniqueCount="15">
  <si>
    <t>Morphine Wean Calculator (starts at MAX mg/kg/dose; % decreases applied to mg/dose)</t>
  </si>
  <si>
    <t>Clinical decision support only; verify with local protocols.</t>
  </si>
  <si>
    <t>Dosing weight (kg)</t>
  </si>
  <si>
    <t>Max morphine dose (mg/kg/dose)</t>
  </si>
  <si>
    <t>% decrease each step (decimal, e.g., 0.10)</t>
  </si>
  <si>
    <t>Starting dose (mg/kg/dose)</t>
  </si>
  <si>
    <t>Starting dose (mg/dose)</t>
  </si>
  <si>
    <t>Initial wean amount (mg/kg/dose)</t>
  </si>
  <si>
    <t>Initial wean amount (mg/dose)</t>
  </si>
  <si>
    <t>Step</t>
  </si>
  <si>
    <t>Dose (mg)</t>
  </si>
  <si>
    <t>Dose (mg/kg/dose)</t>
  </si>
  <si>
    <t>Weight (kg)</t>
  </si>
  <si>
    <t>Reduction Amount (mg)</t>
  </si>
  <si>
    <t>Step Decrease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</si>
</sst>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i/>
      <sz val="11.0"/>
      <color rgb="FF555555"/>
      <name val="Calibri"/>
    </font>
    <font>
      <color theme="1"/>
      <name val="Arial"/>
      <scheme val="minor"/>
    </font>
    <font>
      <color rgb="FF1F1F1F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DE9"/>
        <bgColor rgb="FFFFFDE9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3" fontId="5" numFmtId="0" xfId="0" applyFill="1" applyFont="1"/>
    <xf borderId="0" fillId="0" fontId="4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4:E24" displayName="Table2" name="Table2" id="1">
  <tableColumns count="5">
    <tableColumn name="Step" id="1"/>
    <tableColumn name="Dose (mg)" id="2"/>
    <tableColumn name="Dose (mg/kg/dose)" id="3"/>
    <tableColumn name="Weight (kg)" id="4"/>
    <tableColumn name="Reduction Amount (mg)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F23" displayName="Table1" name="Table1" id="2">
  <tableColumns count="6">
    <tableColumn name="Step" id="1"/>
    <tableColumn name="Dose (mg)" id="2"/>
    <tableColumn name="Dose (mg/kg/dose)" id="3"/>
    <tableColumn name="Weight (kg)" id="4"/>
    <tableColumn name="Step Decrease (%)" id="5"/>
    <tableColumn name="Reduction Amount (mg)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46.5"/>
    <col customWidth="1" min="2" max="2" width="16.5"/>
    <col customWidth="1" min="3" max="3" width="24.5"/>
    <col customWidth="1" hidden="1" min="4" max="4" width="18.5"/>
    <col customWidth="1" min="5" max="5" width="28.5"/>
  </cols>
  <sheetData>
    <row r="1">
      <c r="A1" s="1" t="s">
        <v>0</v>
      </c>
      <c r="D1" s="2"/>
    </row>
    <row r="2">
      <c r="A2" s="3" t="s">
        <v>1</v>
      </c>
      <c r="B2" s="2"/>
      <c r="C2" s="2"/>
      <c r="D2" s="2"/>
    </row>
    <row r="3">
      <c r="A3" s="4" t="s">
        <v>2</v>
      </c>
      <c r="B3" s="5">
        <v>3.1</v>
      </c>
      <c r="C3" s="2"/>
      <c r="D3" s="2"/>
    </row>
    <row r="4">
      <c r="A4" s="4" t="s">
        <v>3</v>
      </c>
      <c r="B4" s="5">
        <v>0.04</v>
      </c>
      <c r="C4" s="2"/>
      <c r="D4" s="2"/>
    </row>
    <row r="5">
      <c r="A5" s="4" t="s">
        <v>4</v>
      </c>
      <c r="B5" s="5">
        <v>0.1</v>
      </c>
      <c r="C5" s="2"/>
      <c r="D5" s="2"/>
    </row>
    <row r="6">
      <c r="A6" s="4"/>
      <c r="B6" s="5"/>
      <c r="C6" s="2"/>
      <c r="D6" s="2"/>
    </row>
    <row r="7">
      <c r="A7" s="2"/>
      <c r="B7" s="2"/>
      <c r="C7" s="2"/>
      <c r="D7" s="2"/>
    </row>
    <row r="8">
      <c r="A8" s="4" t="s">
        <v>5</v>
      </c>
      <c r="B8" s="6">
        <f>B4</f>
        <v>0.04</v>
      </c>
      <c r="C8" s="2"/>
      <c r="D8" s="2"/>
    </row>
    <row r="9">
      <c r="A9" s="4" t="s">
        <v>6</v>
      </c>
      <c r="B9" s="6">
        <f t="shared" ref="B9:B12" si="1">IFS(ROW()=9, $B$3*$B$4, ROW()=11, $B$4*$B$5, ROW()=12, $B$9*$B$5, TRUE, "")</f>
        <v>0.124</v>
      </c>
      <c r="C9" s="2"/>
      <c r="D9" s="2"/>
    </row>
    <row r="10">
      <c r="A10" s="2"/>
      <c r="B10" s="2" t="str">
        <f t="shared" si="1"/>
        <v/>
      </c>
      <c r="C10" s="2"/>
      <c r="D10" s="2"/>
    </row>
    <row r="11">
      <c r="A11" s="4" t="s">
        <v>7</v>
      </c>
      <c r="B11" s="6">
        <f t="shared" si="1"/>
        <v>0.004</v>
      </c>
      <c r="C11" s="2"/>
      <c r="D11" s="2"/>
    </row>
    <row r="12">
      <c r="A12" s="4" t="s">
        <v>8</v>
      </c>
      <c r="B12" s="6">
        <f t="shared" si="1"/>
        <v>0.0124</v>
      </c>
      <c r="C12" s="2"/>
      <c r="D12" s="2"/>
    </row>
    <row r="13">
      <c r="A13" s="7"/>
      <c r="B13" s="7"/>
      <c r="C13" s="7"/>
      <c r="D13" s="7"/>
      <c r="E13" s="8"/>
    </row>
    <row r="14" ht="22.5" customHeight="1">
      <c r="A14" s="9" t="s">
        <v>9</v>
      </c>
      <c r="B14" s="9" t="s">
        <v>10</v>
      </c>
      <c r="C14" s="9" t="s">
        <v>11</v>
      </c>
      <c r="D14" s="9" t="s">
        <v>12</v>
      </c>
      <c r="E14" s="10" t="s">
        <v>13</v>
      </c>
    </row>
    <row r="15" ht="22.5" customHeight="1">
      <c r="A15" s="11">
        <v>1.0</v>
      </c>
      <c r="B15" s="12">
        <f t="shared" ref="B15:B24" si="2">IF(A15=1, D15*$B$4, B14-($D$15*$B$4*$B$5))</f>
        <v>0.124</v>
      </c>
      <c r="C15" s="12">
        <f t="shared" ref="C15:C24" si="3">B15/D15</f>
        <v>0.04</v>
      </c>
      <c r="D15" s="11">
        <v>3.1</v>
      </c>
      <c r="E15" s="11">
        <f t="shared" ref="E15:E24" si="4">IF(A15=1, 0, B14-B15)</f>
        <v>0</v>
      </c>
    </row>
    <row r="16" ht="22.5" customHeight="1">
      <c r="A16" s="11">
        <v>2.0</v>
      </c>
      <c r="B16" s="12">
        <f t="shared" si="2"/>
        <v>0.1116</v>
      </c>
      <c r="C16" s="12">
        <f t="shared" si="3"/>
        <v>0.036</v>
      </c>
      <c r="D16" s="11">
        <v>3.1</v>
      </c>
      <c r="E16" s="11">
        <f t="shared" si="4"/>
        <v>0.0124</v>
      </c>
    </row>
    <row r="17" ht="22.5" customHeight="1">
      <c r="A17" s="11">
        <v>3.0</v>
      </c>
      <c r="B17" s="12">
        <f t="shared" si="2"/>
        <v>0.0992</v>
      </c>
      <c r="C17" s="12">
        <f t="shared" si="3"/>
        <v>0.032</v>
      </c>
      <c r="D17" s="11">
        <v>3.1</v>
      </c>
      <c r="E17" s="11">
        <f t="shared" si="4"/>
        <v>0.0124</v>
      </c>
    </row>
    <row r="18" ht="22.5" customHeight="1">
      <c r="A18" s="11">
        <v>4.0</v>
      </c>
      <c r="B18" s="12">
        <f t="shared" si="2"/>
        <v>0.0868</v>
      </c>
      <c r="C18" s="12">
        <f t="shared" si="3"/>
        <v>0.028</v>
      </c>
      <c r="D18" s="11">
        <v>3.1</v>
      </c>
      <c r="E18" s="11">
        <f t="shared" si="4"/>
        <v>0.0124</v>
      </c>
    </row>
    <row r="19" ht="22.5" customHeight="1">
      <c r="A19" s="11">
        <v>5.0</v>
      </c>
      <c r="B19" s="12">
        <f t="shared" si="2"/>
        <v>0.0744</v>
      </c>
      <c r="C19" s="12">
        <f t="shared" si="3"/>
        <v>0.024</v>
      </c>
      <c r="D19" s="11">
        <v>3.1</v>
      </c>
      <c r="E19" s="11">
        <f t="shared" si="4"/>
        <v>0.0124</v>
      </c>
    </row>
    <row r="20" ht="22.5" customHeight="1">
      <c r="A20" s="11">
        <v>6.0</v>
      </c>
      <c r="B20" s="12">
        <f t="shared" si="2"/>
        <v>0.062</v>
      </c>
      <c r="C20" s="12">
        <f t="shared" si="3"/>
        <v>0.02</v>
      </c>
      <c r="D20" s="11">
        <v>3.1</v>
      </c>
      <c r="E20" s="11">
        <f t="shared" si="4"/>
        <v>0.0124</v>
      </c>
    </row>
    <row r="21" ht="22.5" customHeight="1">
      <c r="A21" s="11">
        <v>7.0</v>
      </c>
      <c r="B21" s="12">
        <f t="shared" si="2"/>
        <v>0.0496</v>
      </c>
      <c r="C21" s="12">
        <f t="shared" si="3"/>
        <v>0.016</v>
      </c>
      <c r="D21" s="11">
        <v>3.1</v>
      </c>
      <c r="E21" s="11">
        <f t="shared" si="4"/>
        <v>0.0124</v>
      </c>
    </row>
    <row r="22" ht="22.5" customHeight="1">
      <c r="A22" s="11">
        <v>8.0</v>
      </c>
      <c r="B22" s="12">
        <f t="shared" si="2"/>
        <v>0.0372</v>
      </c>
      <c r="C22" s="12">
        <f t="shared" si="3"/>
        <v>0.012</v>
      </c>
      <c r="D22" s="11">
        <v>3.1</v>
      </c>
      <c r="E22" s="11">
        <f t="shared" si="4"/>
        <v>0.0124</v>
      </c>
    </row>
    <row r="23" ht="22.5" customHeight="1">
      <c r="A23" s="11">
        <v>9.0</v>
      </c>
      <c r="B23" s="12">
        <f t="shared" si="2"/>
        <v>0.0248</v>
      </c>
      <c r="C23" s="12">
        <f t="shared" si="3"/>
        <v>0.008</v>
      </c>
      <c r="D23" s="11">
        <v>3.1</v>
      </c>
      <c r="E23" s="11">
        <f t="shared" si="4"/>
        <v>0.0124</v>
      </c>
    </row>
    <row r="24" ht="22.5" customHeight="1">
      <c r="A24" s="11">
        <v>10.0</v>
      </c>
      <c r="B24" s="12">
        <f t="shared" si="2"/>
        <v>0.0124</v>
      </c>
      <c r="C24" s="12">
        <f t="shared" si="3"/>
        <v>0.004</v>
      </c>
      <c r="D24" s="11">
        <v>3.1</v>
      </c>
      <c r="E24" s="11">
        <f t="shared" si="4"/>
        <v>0.0124</v>
      </c>
    </row>
    <row r="44">
      <c r="B44" s="13"/>
    </row>
  </sheetData>
  <mergeCells count="1">
    <mergeCell ref="A1:C1"/>
  </mergeCells>
  <dataValidations>
    <dataValidation type="custom" allowBlank="1" showDropDown="1" sqref="A15:E24">
      <formula1>AND(ISNUMBER(A15),(NOT(OR(NOT(ISERROR(DATEVALUE(A15))), AND(ISNUMBER(A15), LEFT(CELL("format", A15))="D")))))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6.5"/>
    <col customWidth="1" min="3" max="3" width="24.5"/>
    <col customWidth="1" min="4" max="4" width="18.5"/>
    <col customWidth="1" min="5" max="5" width="24.5"/>
    <col customWidth="1" min="6" max="6" width="28.5"/>
  </cols>
  <sheetData>
    <row r="13" ht="22.5" customHeight="1">
      <c r="A13" s="10" t="s">
        <v>9</v>
      </c>
      <c r="B13" s="10" t="s">
        <v>10</v>
      </c>
      <c r="C13" s="10" t="s">
        <v>11</v>
      </c>
      <c r="D13" s="10" t="s">
        <v>12</v>
      </c>
      <c r="E13" s="10" t="s">
        <v>14</v>
      </c>
      <c r="F13" s="10" t="s">
        <v>13</v>
      </c>
    </row>
    <row r="14" ht="22.5" customHeight="1">
      <c r="A14" s="11">
        <v>1.0</v>
      </c>
      <c r="B14" s="11">
        <v>0.248</v>
      </c>
      <c r="C14" s="11">
        <v>0.08</v>
      </c>
      <c r="D14" s="11">
        <v>3.1</v>
      </c>
      <c r="E14" s="14">
        <v>0.0</v>
      </c>
      <c r="F14" s="11">
        <v>0.0</v>
      </c>
    </row>
    <row r="15" ht="22.5" customHeight="1">
      <c r="A15" s="11">
        <v>2.0</v>
      </c>
      <c r="B15" s="11">
        <v>0.2232</v>
      </c>
      <c r="C15" s="11">
        <v>0.072</v>
      </c>
      <c r="D15" s="11">
        <v>3.1</v>
      </c>
      <c r="E15" s="14">
        <v>0.1</v>
      </c>
      <c r="F15" s="11">
        <v>0.0248</v>
      </c>
    </row>
    <row r="16" ht="22.5" customHeight="1">
      <c r="A16" s="11">
        <v>3.0</v>
      </c>
      <c r="B16" s="11">
        <v>0.2009</v>
      </c>
      <c r="C16" s="11">
        <v>0.0648</v>
      </c>
      <c r="D16" s="11">
        <v>3.1</v>
      </c>
      <c r="E16" s="14">
        <v>0.1</v>
      </c>
      <c r="F16" s="11">
        <v>0.0223</v>
      </c>
    </row>
    <row r="17" ht="22.5" customHeight="1">
      <c r="A17" s="11">
        <v>4.0</v>
      </c>
      <c r="B17" s="11">
        <v>0.1808</v>
      </c>
      <c r="C17" s="11">
        <v>0.0583</v>
      </c>
      <c r="D17" s="11">
        <v>3.1</v>
      </c>
      <c r="E17" s="14">
        <v>0.1</v>
      </c>
      <c r="F17" s="11">
        <v>0.0201</v>
      </c>
    </row>
    <row r="18" ht="22.5" customHeight="1">
      <c r="A18" s="11">
        <v>5.0</v>
      </c>
      <c r="B18" s="11">
        <v>0.1627</v>
      </c>
      <c r="C18" s="11">
        <v>0.0525</v>
      </c>
      <c r="D18" s="11">
        <v>3.1</v>
      </c>
      <c r="E18" s="14">
        <v>0.1</v>
      </c>
      <c r="F18" s="11">
        <v>0.0181</v>
      </c>
    </row>
    <row r="19" ht="22.5" customHeight="1">
      <c r="A19" s="11">
        <v>6.0</v>
      </c>
      <c r="B19" s="11">
        <v>0.1464</v>
      </c>
      <c r="C19" s="11">
        <v>0.0472</v>
      </c>
      <c r="D19" s="11">
        <v>3.1</v>
      </c>
      <c r="E19" s="14">
        <v>0.1</v>
      </c>
      <c r="F19" s="11">
        <v>0.0163</v>
      </c>
    </row>
    <row r="20" ht="22.5" customHeight="1">
      <c r="A20" s="11">
        <v>7.0</v>
      </c>
      <c r="B20" s="11">
        <v>0.1318</v>
      </c>
      <c r="C20" s="11">
        <v>0.0425</v>
      </c>
      <c r="D20" s="11">
        <v>3.1</v>
      </c>
      <c r="E20" s="14">
        <v>0.1</v>
      </c>
      <c r="F20" s="11">
        <v>0.0146</v>
      </c>
    </row>
    <row r="21" ht="22.5" customHeight="1">
      <c r="A21" s="11">
        <v>8.0</v>
      </c>
      <c r="B21" s="11">
        <v>0.1186</v>
      </c>
      <c r="C21" s="11">
        <v>0.0383</v>
      </c>
      <c r="D21" s="11">
        <v>3.1</v>
      </c>
      <c r="E21" s="14">
        <v>0.1</v>
      </c>
      <c r="F21" s="11">
        <v>0.0132</v>
      </c>
    </row>
    <row r="22" ht="22.5" customHeight="1">
      <c r="A22" s="11">
        <v>9.0</v>
      </c>
      <c r="B22" s="11">
        <v>0.1068</v>
      </c>
      <c r="C22" s="11">
        <v>0.0344</v>
      </c>
      <c r="D22" s="11">
        <v>3.1</v>
      </c>
      <c r="E22" s="14">
        <v>0.1</v>
      </c>
      <c r="F22" s="11">
        <v>0.0119</v>
      </c>
    </row>
    <row r="23" ht="22.5" customHeight="1">
      <c r="A23" s="11">
        <v>10.0</v>
      </c>
      <c r="B23" s="11">
        <v>0.0961</v>
      </c>
      <c r="C23" s="11">
        <v>0.031</v>
      </c>
      <c r="D23" s="11">
        <v>3.1</v>
      </c>
      <c r="E23" s="14">
        <v>0.1</v>
      </c>
      <c r="F23" s="11">
        <v>0.0107</v>
      </c>
    </row>
  </sheetData>
  <dataValidations>
    <dataValidation type="custom" allowBlank="1" showDropDown="1" sqref="A14:F23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
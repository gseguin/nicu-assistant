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ient Recipe" sheetId="1" state="visible" r:id="rId3"/>
    <sheet name="Calculator" sheetId="2" state="visible" r:id="rId4"/>
    <sheet name="Modified Recipe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<sst xmlns="http://schemas.openxmlformats.org/spreadsheetml/2006/main" count="133" uniqueCount="105">
  <si>
    <t xml:space="preserve">Patient Specific Recipe Calculator</t>
  </si>
  <si>
    <t xml:space="preserve">Inputs</t>
  </si>
  <si>
    <t xml:space="preserve">Recipe Outputs</t>
  </si>
  <si>
    <t xml:space="preserve">Base Liquid</t>
  </si>
  <si>
    <t xml:space="preserve">Breast Milk</t>
  </si>
  <si>
    <t xml:space="preserve">Total Base Liquid (mL)</t>
  </si>
  <si>
    <t xml:space="preserve">Formula Selection</t>
  </si>
  <si>
    <t xml:space="preserve">Similac NeoSure</t>
  </si>
  <si>
    <t xml:space="preserve">Grams of Powder</t>
  </si>
  <si>
    <t xml:space="preserve">Target Calories (kcal/oz)</t>
  </si>
  <si>
    <t xml:space="preserve">Scoops</t>
  </si>
  <si>
    <t xml:space="preserve">Target Volume (mL)</t>
  </si>
  <si>
    <t xml:space="preserve">Tablespoons</t>
  </si>
  <si>
    <t xml:space="preserve">Grams per Tablespoon</t>
  </si>
  <si>
    <t xml:space="preserve">Teaspoons</t>
  </si>
  <si>
    <t xml:space="preserve">Grams per Teaspoon</t>
  </si>
  <si>
    <t xml:space="preserve">ormula Name</t>
  </si>
  <si>
    <t xml:space="preserve">Displacement Factor (mL/g)</t>
  </si>
  <si>
    <t xml:space="preserve">Calorie Concentration (kcal/g)</t>
  </si>
  <si>
    <t xml:space="preserve">Grams per Scoop</t>
  </si>
  <si>
    <t xml:space="preserve">Fortification Calculator</t>
  </si>
  <si>
    <t xml:space="preserve">Alfamino Infant</t>
  </si>
  <si>
    <t xml:space="preserve">Base</t>
  </si>
  <si>
    <t xml:space="preserve">Breast milk</t>
  </si>
  <si>
    <t xml:space="preserve">Boost Kid Essentials</t>
  </si>
  <si>
    <t xml:space="preserve">Starting Volume (mL)</t>
  </si>
  <si>
    <t xml:space="preserve">EleCare</t>
  </si>
  <si>
    <t xml:space="preserve">Neocate Infant</t>
  </si>
  <si>
    <t xml:space="preserve">Enfamil A.R</t>
  </si>
  <si>
    <t xml:space="preserve">Target Calorie (kcal/oz)</t>
  </si>
  <si>
    <t xml:space="preserve">Unit Selection</t>
  </si>
  <si>
    <t xml:space="preserve">Enfamil EnfaCare</t>
  </si>
  <si>
    <t xml:space="preserve">Outputs</t>
  </si>
  <si>
    <t xml:space="preserve">Enfamil Gentlease</t>
  </si>
  <si>
    <t xml:space="preserve">Yield (mL)</t>
  </si>
  <si>
    <t xml:space="preserve">Enfamil Infant</t>
  </si>
  <si>
    <t xml:space="preserve">Exact kcal/oz</t>
  </si>
  <si>
    <t xml:space="preserve">Suggested Starting Volume (mL)</t>
  </si>
  <si>
    <t xml:space="preserve">Enfamil NeuroPro</t>
  </si>
  <si>
    <t xml:space="preserve">Enfamil ProSobee</t>
  </si>
  <si>
    <t xml:space="preserve">Enfamil Reguline</t>
  </si>
  <si>
    <t xml:space="preserve">Gerber Good Start</t>
  </si>
  <si>
    <t xml:space="preserve">Monogen</t>
  </si>
  <si>
    <t xml:space="preserve">Nutramigen</t>
  </si>
  <si>
    <t xml:space="preserve">PediaSure</t>
  </si>
  <si>
    <t xml:space="preserve">PediaSure Peptide</t>
  </si>
  <si>
    <t xml:space="preserve">Peptamen Junior</t>
  </si>
  <si>
    <t xml:space="preserve">Portagen</t>
  </si>
  <si>
    <t xml:space="preserve">Pregestimil</t>
  </si>
  <si>
    <t xml:space="preserve">Puramino Infant</t>
  </si>
  <si>
    <t xml:space="preserve">Similac 360 Total Care</t>
  </si>
  <si>
    <t xml:space="preserve">Similac Advance</t>
  </si>
  <si>
    <t xml:space="preserve">Similac Alimentum</t>
  </si>
  <si>
    <t xml:space="preserve">Similac HMF</t>
  </si>
  <si>
    <t xml:space="preserve">Similac Isomil</t>
  </si>
  <si>
    <t xml:space="preserve">Similac Pro-Advance</t>
  </si>
  <si>
    <t xml:space="preserve">Similac Sensitive</t>
  </si>
  <si>
    <t xml:space="preserve">Similac Total Comfort</t>
  </si>
  <si>
    <t xml:space="preserve">Vivonex Pediatric</t>
  </si>
  <si>
    <t xml:space="preserve">Cell</t>
  </si>
  <si>
    <t xml:space="preserve">Label / Content</t>
  </si>
  <si>
    <t xml:space="preserve">Formula / Input</t>
  </si>
  <si>
    <t xml:space="preserve">**F1**</t>
  </si>
  <si>
    <t xml:space="preserve">**VOLUME-BASED CALCULATOR**</t>
  </si>
  <si>
    <t xml:space="preserve">(Header)</t>
  </si>
  <si>
    <t xml:space="preserve">**F2**</t>
  </si>
  <si>
    <t xml:space="preserve">Liquid Type (Water/BM)</t>
  </si>
  <si>
    <t xml:space="preserve">(Input "Water" or "BM" in **G2**)</t>
  </si>
  <si>
    <t xml:space="preserve">**F3**</t>
  </si>
  <si>
    <t xml:space="preserve">(Input volume in **G3**)</t>
  </si>
  <si>
    <t xml:space="preserve">**F4**</t>
  </si>
  <si>
    <t xml:space="preserve">(Select from dropdown in **G4** based on A2:A32)</t>
  </si>
  <si>
    <t xml:space="preserve">**F5**</t>
  </si>
  <si>
    <t xml:space="preserve">(Input target in **G5**)</t>
  </si>
  <si>
    <t xml:space="preserve">**F7**</t>
  </si>
  <si>
    <t xml:space="preserve">**Grams of powder to add**</t>
  </si>
  <si>
    <t xml:space="preserve">`=IFERROR((G3 * (G5 - IF(G2="Water", 0, 20))) / (29.57 * VLOOKUP(G4, A:C, 3, FALSE) - VLOOKUP(G4, A:B, 2, FALSE) * G5), 0)`</t>
  </si>
  <si>
    <t xml:space="preserve">**F8**</t>
  </si>
  <si>
    <t xml:space="preserve">**Scoops to add**</t>
  </si>
  <si>
    <t xml:space="preserve">`=IFERROR(G7 / VLOOKUP(G4, A:D, 4, FALSE), 0)`</t>
  </si>
  <si>
    <t xml:space="preserve">MODIFIED FORMULA</t>
  </si>
  <si>
    <t xml:space="preserve">Displacement factor of powder</t>
  </si>
  <si>
    <t xml:space="preserve">mL/g</t>
  </si>
  <si>
    <t xml:space="preserve">Calorie concentration of powder:</t>
  </si>
  <si>
    <t xml:space="preserve">kcal/g</t>
  </si>
  <si>
    <t xml:space="preserve">Recipe:</t>
  </si>
  <si>
    <t xml:space="preserve">mL water</t>
  </si>
  <si>
    <t xml:space="preserve">Desired calorie concentration:</t>
  </si>
  <si>
    <t xml:space="preserve">kcal/oz</t>
  </si>
  <si>
    <t xml:space="preserve">g powder</t>
  </si>
  <si>
    <t xml:space="preserve">scoops</t>
  </si>
  <si>
    <t xml:space="preserve">Desired total volume:</t>
  </si>
  <si>
    <t xml:space="preserve">mL total</t>
  </si>
  <si>
    <t xml:space="preserve">teaspoons</t>
  </si>
  <si>
    <t xml:space="preserve">Grams per scoop</t>
  </si>
  <si>
    <t xml:space="preserve">g/scoop</t>
  </si>
  <si>
    <t xml:space="preserve">Grams per tablespoon</t>
  </si>
  <si>
    <t xml:space="preserve">g/Tbsp</t>
  </si>
  <si>
    <t xml:space="preserve">Grams per teaspoon</t>
  </si>
  <si>
    <t xml:space="preserve">g/tsp</t>
  </si>
  <si>
    <t xml:space="preserve">MODIFIED BREAST MILK FORTIFIER</t>
  </si>
  <si>
    <t xml:space="preserve">Displacement factor of powder:</t>
  </si>
  <si>
    <t xml:space="preserve">mL BM</t>
  </si>
  <si>
    <t xml:space="preserve">Calorie concentration of BM:</t>
  </si>
  <si>
    <t xml:space="preserve">ml/oz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</si>
</sst>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"/>
  </numFmts>
  <fonts count="23">
    <font>
      <sz val="11"/>
      <color theme="1"/>
      <name val="Georgi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3366"/>
      <name val="Georgia"/>
      <family val="0"/>
      <charset val="1"/>
    </font>
    <font>
      <b val="true"/>
      <sz val="11"/>
      <color rgb="FFFFFFFF"/>
      <name val="Georgia"/>
      <family val="0"/>
      <charset val="1"/>
    </font>
    <font>
      <b val="true"/>
      <sz val="11"/>
      <color theme="1"/>
      <name val="Georgia"/>
      <family val="0"/>
      <charset val="1"/>
    </font>
    <font>
      <b val="true"/>
      <sz val="11"/>
      <color rgb="FF194CB2"/>
      <name val="Georgia"/>
      <family val="0"/>
      <charset val="1"/>
    </font>
    <font>
      <b val="true"/>
      <sz val="11"/>
      <color rgb="FFFFFFFF"/>
      <name val="Montserrat"/>
      <family val="0"/>
      <charset val="1"/>
    </font>
    <font>
      <b val="true"/>
      <sz val="24"/>
      <color rgb="FF0A5293"/>
      <name val="Montserrat"/>
      <family val="0"/>
      <charset val="1"/>
    </font>
    <font>
      <sz val="11"/>
      <color rgb="FF075885"/>
      <name val="Roboto"/>
      <family val="0"/>
      <charset val="1"/>
    </font>
    <font>
      <b val="true"/>
      <sz val="11"/>
      <color rgb="FFFFFFFF"/>
      <name val="Roboto"/>
      <family val="0"/>
      <charset val="1"/>
    </font>
    <font>
      <b val="true"/>
      <sz val="11"/>
      <color rgb="FF075885"/>
      <name val="Roboto"/>
      <family val="0"/>
      <charset val="1"/>
    </font>
    <font>
      <b val="true"/>
      <sz val="11"/>
      <color rgb="FF0F51BA"/>
      <name val="Georgia"/>
      <family val="0"/>
      <charset val="1"/>
    </font>
    <font>
      <b val="true"/>
      <sz val="11"/>
      <color rgb="FF0A5293"/>
      <name val="Roboto"/>
      <family val="0"/>
      <charset val="1"/>
    </font>
    <font>
      <b val="true"/>
      <sz val="11"/>
      <color rgb="FF075885"/>
      <name val="Georgia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Calibri"/>
      <family val="0"/>
      <charset val="1"/>
    </font>
    <font>
      <sz val="11"/>
      <color theme="0"/>
      <name val="Calibri"/>
      <family val="0"/>
      <charset val="1"/>
    </font>
    <font>
      <b val="true"/>
      <sz val="11"/>
      <color theme="0"/>
      <name val="Arial"/>
      <family val="0"/>
      <charset val="1"/>
    </font>
    <font>
      <sz val="11"/>
      <color theme="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03366"/>
        <bgColor rgb="FF0A5293"/>
      </patternFill>
    </fill>
    <fill>
      <patternFill patternType="solid">
        <fgColor rgb="FFFFFFFF"/>
        <bgColor rgb="FFF0F4F9"/>
      </patternFill>
    </fill>
    <fill>
      <patternFill patternType="solid">
        <fgColor rgb="FFE5F2FF"/>
        <bgColor rgb="FFF0F4F9"/>
      </patternFill>
    </fill>
    <fill>
      <patternFill patternType="solid">
        <fgColor rgb="FF0183C7"/>
        <bgColor rgb="FF0F51BA"/>
      </patternFill>
    </fill>
    <fill>
      <patternFill patternType="solid">
        <fgColor rgb="FFF0F4F9"/>
        <bgColor rgb="FFE5F2FF"/>
      </patternFill>
    </fill>
    <fill>
      <patternFill patternType="solid">
        <fgColor rgb="FF0A5293"/>
        <bgColor rgb="FF075885"/>
      </patternFill>
    </fill>
    <fill>
      <patternFill patternType="solid">
        <fgColor rgb="FFB7B7B7"/>
        <bgColor rgb="FFCCCCCC"/>
      </patternFill>
    </fill>
    <fill>
      <patternFill patternType="solid">
        <fgColor rgb="FFCCCCCC"/>
        <bgColor rgb="FFD8D8D8"/>
      </patternFill>
    </fill>
    <fill>
      <patternFill patternType="solid">
        <fgColor rgb="FFCEE1F2"/>
        <bgColor rgb="FFD8D8D8"/>
      </patternFill>
    </fill>
    <fill>
      <patternFill patternType="solid">
        <fgColor rgb="FF0C0C0C"/>
        <bgColor rgb="FF000000"/>
      </patternFill>
    </fill>
    <fill>
      <patternFill patternType="solid">
        <fgColor rgb="FFD8D8D8"/>
        <bgColor rgb="FFCCCC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8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1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1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1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bgColor rgb="FF000000"/>
        </patternFill>
      </fill>
    </dxf>
    <dxf>
      <fill>
        <patternFill patternType="solid">
          <fgColor rgb="FF585858"/>
          <bgColor rgb="FF000000"/>
        </patternFill>
      </fill>
    </dxf>
    <dxf>
      <fill>
        <patternFill patternType="solid">
          <fgColor rgb="FF0A5293"/>
          <bgColor rgb="FF000000"/>
        </patternFill>
      </fill>
    </dxf>
    <dxf>
      <fill>
        <patternFill patternType="solid">
          <fgColor rgb="FFB7B7B7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75885"/>
          <bgColor rgb="FF000000"/>
        </patternFill>
      </fill>
    </dxf>
    <dxf>
      <fill>
        <patternFill patternType="solid">
          <fgColor rgb="FFCEE1F2"/>
          <bgColor rgb="FF000000"/>
        </patternFill>
      </fill>
    </dxf>
    <dxf>
      <fill>
        <patternFill patternType="solid">
          <fgColor rgb="FF0F51B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83C7"/>
      <rgbColor rgb="FFB7B7B7"/>
      <rgbColor rgb="FF808080"/>
      <rgbColor rgb="FF9999FF"/>
      <rgbColor rgb="FF993366"/>
      <rgbColor rgb="FFF3EEE8"/>
      <rgbColor rgb="FFE5F2FF"/>
      <rgbColor rgb="FF660066"/>
      <rgbColor rgb="FFFF8080"/>
      <rgbColor rgb="FF0F51BA"/>
      <rgbColor rgb="FFCEE1F2"/>
      <rgbColor rgb="FF000080"/>
      <rgbColor rgb="FFFF00FF"/>
      <rgbColor rgb="FFFFFF00"/>
      <rgbColor rgb="FF00FFFF"/>
      <rgbColor rgb="FF800080"/>
      <rgbColor rgb="FF800000"/>
      <rgbColor rgb="FF075885"/>
      <rgbColor rgb="FF0000FF"/>
      <rgbColor rgb="FF00CCFF"/>
      <rgbColor rgb="FFF0F4F9"/>
      <rgbColor rgb="FFD8D8D8"/>
      <rgbColor rgb="FFFFFF99"/>
      <rgbColor rgb="FFCCCCCC"/>
      <rgbColor rgb="FFFF99CC"/>
      <rgbColor rgb="FFCC99FF"/>
      <rgbColor rgb="FFFFCC99"/>
      <rgbColor rgb="FF0A5293"/>
      <rgbColor rgb="FF33CCCC"/>
      <rgbColor rgb="FF99CC00"/>
      <rgbColor rgb="FFFFCC00"/>
      <rgbColor rgb="FFFF9900"/>
      <rgbColor rgb="FFFF6600"/>
      <rgbColor rgb="FF585858"/>
      <rgbColor rgb="FF969696"/>
      <rgbColor rgb="FF003366"/>
      <rgbColor rgb="FF339966"/>
      <rgbColor rgb="FF0C0C0C"/>
      <rgbColor rgb="FF333300"/>
      <rgbColor rgb="FF993300"/>
      <rgbColor rgb="FF993366"/>
      <rgbColor rgb="FF194CB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F50:H57" headerRowCount="1" totalsRowCount="0" totalsRowShown="0">
  <tableColumns count="3">
    <tableColumn id="1" name="Cell"/>
    <tableColumn id="2" name="Label / Content"/>
    <tableColumn id="3" name="Formula / Input"/>
  </tableColumns>
</table>
</file>

<file path=xl/tables/table2.xml><?xml version="1.0" encoding="utf-8"?>
<table xmlns="http://schemas.openxmlformats.org/spreadsheetml/2006/main" id="2" name="Table_1" displayName="Table_1" ref="F3:G7" headerRowCount="1" totalsRowCount="0" totalsRowShown="0">
  <tableColumns count="2">
    <tableColumn id="1" name="Base"/>
    <tableColumn id="2" name="Breast milk"/>
  </tableColumns>
</table>
</file>

<file path=xl/tables/table3.xml><?xml version="1.0" encoding="utf-8"?>
<table xmlns="http://schemas.openxmlformats.org/spreadsheetml/2006/main" id="3" name="Table_2" displayName="Table_2" ref="F9:G12" headerRowCount="0" totalsRowCount="1" totalsRowShown="1">
  <tableColumns count="2">
    <tableColumn id="1" name="Column1"/>
    <tableColumn id="2" name="Column2" totalsRowFunction="custom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585858"/>
      </a:dk1>
      <a:lt1>
        <a:srgbClr val="f3eee8"/>
      </a:lt1>
      <a:dk2>
        <a:srgbClr val="585858"/>
      </a:dk2>
      <a:lt2>
        <a:srgbClr val="f3eee8"/>
      </a:lt2>
      <a:accent1>
        <a:srgbClr val="d4541b"/>
      </a:accent1>
      <a:accent2>
        <a:srgbClr val="005454"/>
      </a:accent2>
      <a:accent3>
        <a:srgbClr val="de9779"/>
      </a:accent3>
      <a:accent4>
        <a:srgbClr val="895e21"/>
      </a:accent4>
      <a:accent5>
        <a:srgbClr val="819462"/>
      </a:accent5>
      <a:accent6>
        <a:srgbClr val="9bbbaa"/>
      </a:accent6>
      <a:hlink>
        <a:srgbClr val="3960ab"/>
      </a:hlink>
      <a:folHlink>
        <a:srgbClr val="3960ab"/>
      </a:folHlink>
    </a:clrScheme>
    <a:fontScheme name="Sheets">
      <a:majorFont>
        <a:latin typeface="Georgia" pitchFamily="0" charset="1"/>
        <a:ea typeface="Georgia" pitchFamily="0" charset="1"/>
        <a:cs typeface="Georgia" pitchFamily="0" charset="1"/>
      </a:majorFont>
      <a:minorFont>
        <a:latin typeface="Georgia" pitchFamily="0" charset="1"/>
        <a:ea typeface="Georgia" pitchFamily="0" charset="1"/>
        <a:cs typeface="Georgia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F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15625" defaultRowHeight="15" customHeight="true" zeroHeight="false" outlineLevelRow="0" outlineLevelCol="0"/>
  <cols>
    <col collapsed="false" customWidth="true" hidden="false" outlineLevel="0" max="1" min="1" style="0" width="2.25"/>
    <col collapsed="false" customWidth="true" hidden="false" outlineLevel="0" max="2" min="2" style="0" width="20.59"/>
    <col collapsed="false" customWidth="true" hidden="false" outlineLevel="0" max="3" min="3" style="0" width="15.47"/>
    <col collapsed="false" customWidth="true" hidden="false" outlineLevel="0" max="4" min="4" style="0" width="2.25"/>
    <col collapsed="false" customWidth="true" hidden="false" outlineLevel="0" max="5" min="5" style="0" width="20.59"/>
    <col collapsed="false" customWidth="true" hidden="false" outlineLevel="0" max="6" min="6" style="0" width="15.47"/>
  </cols>
  <sheetData>
    <row r="1" customFormat="false" ht="6.75" hidden="false" customHeight="true" outlineLevel="0" collapsed="false"/>
    <row r="2" customFormat="false" ht="26.25" hidden="false" customHeight="true" outlineLevel="0" collapsed="false">
      <c r="B2" s="1" t="s">
        <v>0</v>
      </c>
      <c r="C2" s="1"/>
      <c r="D2" s="1"/>
      <c r="E2" s="1"/>
      <c r="F2" s="1"/>
    </row>
    <row r="3" customFormat="false" ht="26.25" hidden="false" customHeight="true" outlineLevel="0" collapsed="false"/>
    <row r="4" customFormat="false" ht="26.25" hidden="false" customHeight="true" outlineLevel="0" collapsed="false">
      <c r="B4" s="2" t="s">
        <v>1</v>
      </c>
      <c r="C4" s="2"/>
      <c r="E4" s="2" t="s">
        <v>2</v>
      </c>
      <c r="F4" s="2"/>
    </row>
    <row r="5" customFormat="false" ht="26.25" hidden="false" customHeight="true" outlineLevel="0" collapsed="false">
      <c r="B5" s="3" t="s">
        <v>3</v>
      </c>
      <c r="C5" s="4" t="s">
        <v>4</v>
      </c>
      <c r="E5" s="3" t="s">
        <v>5</v>
      </c>
      <c r="F5" s="5" t="n">
        <f aca="false">IFERROR(C8 - (F6 * VLOOKUP(C6, Calculator!A:B, 2, FALSE())), 0)</f>
        <v>146.436888576845</v>
      </c>
    </row>
    <row r="6" customFormat="false" ht="26.25" hidden="false" customHeight="true" outlineLevel="0" collapsed="false">
      <c r="B6" s="3" t="s">
        <v>6</v>
      </c>
      <c r="C6" s="4" t="s">
        <v>7</v>
      </c>
      <c r="E6" s="3" t="s">
        <v>8</v>
      </c>
      <c r="F6" s="5" t="n">
        <f aca="false">IFERROR((C8 * (C7 - IF(C5="Water", 0, 20))) / (29.57 * VLOOKUP(C6, Calculator!A:C, 3, FALSE()) - VLOOKUP(C6, Calculator!A:B, 2, FALSE()) * C7), 0)</f>
        <v>4.5102676242466</v>
      </c>
    </row>
    <row r="7" customFormat="false" ht="26.25" hidden="false" customHeight="true" outlineLevel="0" collapsed="false">
      <c r="B7" s="3" t="s">
        <v>9</v>
      </c>
      <c r="C7" s="6" t="n">
        <v>24</v>
      </c>
      <c r="E7" s="3" t="s">
        <v>10</v>
      </c>
      <c r="F7" s="5" t="n">
        <f aca="false">IFERROR(F6 / VLOOKUP(C6, Calculator!A:D, 4, FALSE()), 0)</f>
        <v>0.469819544192354</v>
      </c>
    </row>
    <row r="8" customFormat="false" ht="26.25" hidden="false" customHeight="true" outlineLevel="0" collapsed="false">
      <c r="B8" s="3" t="s">
        <v>11</v>
      </c>
      <c r="C8" s="6" t="n">
        <v>150</v>
      </c>
      <c r="E8" s="3" t="s">
        <v>12</v>
      </c>
      <c r="F8" s="5" t="n">
        <f aca="false">IFERROR(F6 / C9, 0)</f>
        <v>0</v>
      </c>
    </row>
    <row r="9" customFormat="false" ht="26.25" hidden="false" customHeight="true" outlineLevel="0" collapsed="false">
      <c r="B9" s="3" t="s">
        <v>13</v>
      </c>
      <c r="C9" s="6"/>
      <c r="E9" s="3" t="s">
        <v>14</v>
      </c>
      <c r="F9" s="5" t="n">
        <f aca="false">IFERROR(F6 / C10, 0)</f>
        <v>0</v>
      </c>
    </row>
    <row r="10" customFormat="false" ht="26.25" hidden="false" customHeight="true" outlineLevel="0" collapsed="false">
      <c r="B10" s="3" t="s">
        <v>15</v>
      </c>
      <c r="C10" s="6"/>
    </row>
  </sheetData>
  <mergeCells count="3">
    <mergeCell ref="B2:F2"/>
    <mergeCell ref="B4:C4"/>
    <mergeCell ref="E4:F4"/>
  </mergeCells>
  <dataValidations count="2">
    <dataValidation allowBlank="true" errorStyle="stop" operator="between" showDropDown="false" showErrorMessage="false" showInputMessage="false" sqref="C6" type="list">
      <formula1>Calculator!$A$3:$A$35</formula1>
      <formula2>0</formula2>
    </dataValidation>
    <dataValidation allowBlank="true" errorStyle="stop" operator="between" showDropDown="false" showErrorMessage="false" showInputMessage="false" sqref="C5" type="list">
      <formula1>"Water,Breast Milk"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0" topLeftCell="F1" activePane="topRight" state="frozen"/>
      <selection pane="topLeft" activeCell="A1" activeCellId="0" sqref="A1"/>
      <selection pane="topRight" activeCell="G2" activeCellId="0" sqref="G2"/>
    </sheetView>
  </sheetViews>
  <sheetFormatPr defaultColWidth="10.3515625" defaultRowHeight="15" customHeight="true" zeroHeight="false" outlineLevelRow="0" outlineLevelCol="0"/>
  <cols>
    <col collapsed="false" customWidth="true" hidden="true" outlineLevel="0" max="1" min="1" style="0" width="13.52"/>
    <col collapsed="false" customWidth="true" hidden="true" outlineLevel="0" max="2" min="2" style="0" width="19.46"/>
    <col collapsed="false" customWidth="true" hidden="true" outlineLevel="0" max="3" min="3" style="0" width="20.89"/>
    <col collapsed="false" customWidth="false" hidden="true" outlineLevel="0" max="5" min="4" style="0" width="10.35"/>
    <col collapsed="false" customWidth="true" hidden="false" outlineLevel="0" max="6" min="6" style="0" width="38.72"/>
    <col collapsed="false" customWidth="true" hidden="false" outlineLevel="0" max="7" min="7" style="0" width="23.16"/>
    <col collapsed="false" customWidth="true" hidden="false" outlineLevel="0" max="8" min="8" style="0" width="30.84"/>
  </cols>
  <sheetData>
    <row r="1" customFormat="false" ht="31.5" hidden="false" customHeight="true" outlineLevel="0" collapsed="false">
      <c r="A1" s="7" t="s">
        <v>16</v>
      </c>
      <c r="B1" s="7" t="s">
        <v>17</v>
      </c>
      <c r="C1" s="7" t="s">
        <v>18</v>
      </c>
      <c r="D1" s="7" t="s">
        <v>19</v>
      </c>
      <c r="F1" s="8" t="s">
        <v>20</v>
      </c>
      <c r="G1" s="8"/>
      <c r="H1" s="9"/>
      <c r="Z1" s="10" t="n">
        <f aca="false" t="array" ref="Z1:Z6">IF(G5="Similac HMF", {22;24}, {20;22;24;26;28;30})</f>
        <v>20</v>
      </c>
    </row>
    <row r="2" customFormat="false" ht="15" hidden="false" customHeight="false" outlineLevel="0" collapsed="false">
      <c r="A2" s="11"/>
      <c r="B2" s="11"/>
      <c r="C2" s="11"/>
      <c r="D2" s="11"/>
      <c r="F2" s="12" t="s">
        <v>1</v>
      </c>
      <c r="G2" s="12"/>
      <c r="Z2" s="10" t="n">
        <v>22</v>
      </c>
    </row>
    <row r="3" customFormat="false" ht="15" hidden="false" customHeight="false" outlineLevel="0" collapsed="false">
      <c r="A3" s="11" t="s">
        <v>21</v>
      </c>
      <c r="B3" s="11" t="n">
        <v>0.77</v>
      </c>
      <c r="C3" s="11" t="n">
        <v>4.8</v>
      </c>
      <c r="D3" s="11" t="n">
        <v>9.4</v>
      </c>
      <c r="F3" s="13" t="s">
        <v>22</v>
      </c>
      <c r="G3" s="14" t="s">
        <v>23</v>
      </c>
      <c r="Z3" s="10" t="n">
        <v>24</v>
      </c>
    </row>
    <row r="4" customFormat="false" ht="15" hidden="false" customHeight="false" outlineLevel="0" collapsed="false">
      <c r="A4" s="11" t="s">
        <v>24</v>
      </c>
      <c r="B4" s="11" t="n">
        <v>0.8</v>
      </c>
      <c r="C4" s="11" t="n">
        <v>5</v>
      </c>
      <c r="D4" s="11" t="n">
        <v>10</v>
      </c>
      <c r="F4" s="15" t="s">
        <v>25</v>
      </c>
      <c r="G4" s="16" t="n">
        <v>180</v>
      </c>
      <c r="Z4" s="10" t="n">
        <v>26</v>
      </c>
    </row>
    <row r="5" customFormat="false" ht="15" hidden="false" customHeight="false" outlineLevel="0" collapsed="false">
      <c r="A5" s="11" t="s">
        <v>26</v>
      </c>
      <c r="B5" s="11" t="n">
        <v>0.76</v>
      </c>
      <c r="C5" s="11" t="n">
        <v>4.69</v>
      </c>
      <c r="D5" s="11" t="n">
        <v>9.5</v>
      </c>
      <c r="F5" s="13" t="s">
        <v>6</v>
      </c>
      <c r="G5" s="14" t="s">
        <v>27</v>
      </c>
      <c r="Z5" s="10" t="n">
        <v>28</v>
      </c>
    </row>
    <row r="6" customFormat="false" ht="15" hidden="false" customHeight="false" outlineLevel="0" collapsed="false">
      <c r="A6" s="11" t="s">
        <v>28</v>
      </c>
      <c r="B6" s="11" t="n">
        <v>0.66</v>
      </c>
      <c r="C6" s="11" t="n">
        <v>5</v>
      </c>
      <c r="D6" s="11" t="n">
        <v>9</v>
      </c>
      <c r="F6" s="15" t="s">
        <v>29</v>
      </c>
      <c r="G6" s="17" t="n">
        <v>24</v>
      </c>
      <c r="Z6" s="10" t="n">
        <v>30</v>
      </c>
    </row>
    <row r="7" customFormat="false" ht="15" hidden="false" customHeight="false" outlineLevel="0" collapsed="false">
      <c r="A7" s="11"/>
      <c r="B7" s="11"/>
      <c r="C7" s="11"/>
      <c r="D7" s="11"/>
      <c r="F7" s="18" t="s">
        <v>30</v>
      </c>
      <c r="G7" s="19" t="s">
        <v>14</v>
      </c>
    </row>
    <row r="8" customFormat="false" ht="15" hidden="false" customHeight="false" outlineLevel="0" collapsed="false">
      <c r="A8" s="11" t="s">
        <v>31</v>
      </c>
      <c r="B8" s="11" t="n">
        <v>0.75</v>
      </c>
      <c r="C8" s="11" t="n">
        <v>5.1</v>
      </c>
      <c r="D8" s="11" t="n">
        <v>9.8</v>
      </c>
      <c r="F8" s="20" t="s">
        <v>32</v>
      </c>
      <c r="G8" s="20"/>
    </row>
    <row r="9" customFormat="false" ht="15" hidden="false" customHeight="false" outlineLevel="0" collapsed="false">
      <c r="A9" s="11"/>
      <c r="B9" s="11"/>
      <c r="C9" s="11"/>
      <c r="D9" s="11"/>
      <c r="F9" s="21" t="str">
        <f aca="false">G7</f>
        <v>Teaspoons</v>
      </c>
      <c r="G9" s="22" t="n">
        <f aca="false">IF(G7="Packets", IF(G5="Similac HMF", IF(G6=24, G4/25, IF(G6=22, G4/50, 0)), 0), IF(AND(G3="Breast milk", G7="Teaspoons", G6=22), (G4/90)*0.5, IF(AND(G3="Breast milk", G7="Teaspoons", G6=24), (G4/90)*1, IFERROR(((G4 * (G6 - IF(G3="Water", 0, 20))) / (29.57 * VLOOKUP(G5, A:C, 3, FALSE()) - VLOOKUP(G5, A:B, 2, FALSE()) * G6)) / ifs(G7="Grams", 1, G7="Scoops", VLOOKUP(G5, A:D, 4, FALSE()), G7="Teaspoons", 2.5, G7="Tablespoons", 7.5, TRUE(), 1), 0))))</f>
        <v>2</v>
      </c>
    </row>
    <row r="10" customFormat="false" ht="15" hidden="false" customHeight="false" outlineLevel="0" collapsed="false">
      <c r="A10" s="11" t="s">
        <v>33</v>
      </c>
      <c r="B10" s="11" t="n">
        <v>0.77</v>
      </c>
      <c r="C10" s="11" t="n">
        <v>5.1</v>
      </c>
      <c r="D10" s="11" t="n">
        <v>8.9</v>
      </c>
      <c r="F10" s="23" t="s">
        <v>34</v>
      </c>
      <c r="G10" s="24" t="n">
        <f aca="false">G4 + IF(G7="Teaspoons", G9 * 2.5, IF(G7="Tablespoons", G9 * 7.5, IF(G7="Grams", G9, IF(OR(G7="Scoops", G7="Packets"), G9 * VLOOKUP(G5, A:D, 4, FALSE()), 0)))) * VLOOKUP(G5, A:B, 2, FALSE())</f>
        <v>183.5</v>
      </c>
    </row>
    <row r="11" customFormat="false" ht="15" hidden="false" customHeight="false" outlineLevel="0" collapsed="false">
      <c r="A11" s="11" t="s">
        <v>35</v>
      </c>
      <c r="B11" s="11" t="n">
        <v>0.77</v>
      </c>
      <c r="C11" s="11" t="n">
        <v>5.1</v>
      </c>
      <c r="D11" s="11" t="n">
        <v>8.8</v>
      </c>
      <c r="F11" s="25" t="s">
        <v>36</v>
      </c>
      <c r="G11" s="24" t="n">
        <f aca="false">(IF(G3="Water", 0, 20) * (G4 / 29.57) + IF(G7="Teaspoons", G9 * 2.5, IF(G7="Tablespoons", G9 * 7.5, IF(G7="Grams", G9, IF(OR(G7="Scoops", G7="Packets"), G9 * VLOOKUP(G5, A:D, 4, FALSE()), 0)))) * VLOOKUP(G5, A:C, 3, FALSE())) / (G10 / 29.57)</f>
        <v>23.5101662125341</v>
      </c>
    </row>
    <row r="12" customFormat="false" ht="15" hidden="false" customHeight="false" outlineLevel="0" collapsed="false">
      <c r="A12" s="11"/>
      <c r="B12" s="11"/>
      <c r="C12" s="11"/>
      <c r="D12" s="11"/>
      <c r="F12" s="26" t="s">
        <v>37</v>
      </c>
      <c r="G12" s="27" t="str">
        <f aca="false">IF(G9=0, "0 (0 oz)", IF(G7="Grams", ROUND(G4, 0) &amp; " (" &amp; ROUND(G4 / 29.57, 1) &amp; " oz)", ROUND(MAX(1, ROUND(G9, 0)) * (G4 / G9), 0) &amp; " (" &amp; ROUND((MAX(1, ROUND(G9, 0)) * (G4 / G9)) / 29.57, 1) &amp; " oz)"))</f>
        <v>180 (6.1 oz)</v>
      </c>
    </row>
    <row r="13" customFormat="false" ht="15" hidden="false" customHeight="false" outlineLevel="0" collapsed="false">
      <c r="A13" s="11" t="s">
        <v>38</v>
      </c>
      <c r="B13" s="11" t="n">
        <v>0.75</v>
      </c>
      <c r="C13" s="11" t="n">
        <v>5.1</v>
      </c>
      <c r="D13" s="11" t="n">
        <v>8.8</v>
      </c>
    </row>
    <row r="14" customFormat="false" ht="15" hidden="false" customHeight="false" outlineLevel="0" collapsed="false">
      <c r="A14" s="11" t="s">
        <v>39</v>
      </c>
      <c r="B14" s="11" t="n">
        <v>0.75</v>
      </c>
      <c r="C14" s="11" t="n">
        <v>5.1</v>
      </c>
      <c r="D14" s="11" t="n">
        <v>8.8</v>
      </c>
    </row>
    <row r="15" customFormat="false" ht="15" hidden="false" customHeight="false" outlineLevel="0" collapsed="false">
      <c r="A15" s="11" t="s">
        <v>40</v>
      </c>
      <c r="B15" s="11" t="n">
        <v>0.75</v>
      </c>
      <c r="C15" s="11" t="n">
        <v>5.1</v>
      </c>
      <c r="D15" s="11" t="n">
        <v>8.8</v>
      </c>
    </row>
    <row r="16" customFormat="false" ht="15" hidden="false" customHeight="false" outlineLevel="0" collapsed="false">
      <c r="A16" s="11" t="s">
        <v>41</v>
      </c>
      <c r="B16" s="11" t="n">
        <v>0.76</v>
      </c>
      <c r="C16" s="11" t="n">
        <v>5.12</v>
      </c>
      <c r="D16" s="11" t="n">
        <v>8.7</v>
      </c>
    </row>
    <row r="17" customFormat="false" ht="15" hidden="false" customHeight="false" outlineLevel="0" collapsed="false">
      <c r="A17" s="11" t="s">
        <v>42</v>
      </c>
      <c r="B17" s="11" t="n">
        <v>0.75</v>
      </c>
      <c r="C17" s="11" t="n">
        <v>4.7</v>
      </c>
      <c r="D17" s="11" t="n">
        <v>5</v>
      </c>
    </row>
    <row r="18" customFormat="false" ht="15" hidden="false" customHeight="false" outlineLevel="0" collapsed="false">
      <c r="A18" s="11" t="s">
        <v>27</v>
      </c>
      <c r="B18" s="11" t="n">
        <v>0.7</v>
      </c>
      <c r="C18" s="11" t="n">
        <v>4.83</v>
      </c>
      <c r="D18" s="11" t="n">
        <v>4.6</v>
      </c>
    </row>
    <row r="19" customFormat="false" ht="15" hidden="false" customHeight="false" outlineLevel="0" collapsed="false">
      <c r="A19" s="11" t="s">
        <v>43</v>
      </c>
      <c r="B19" s="11" t="n">
        <v>0.75</v>
      </c>
      <c r="C19" s="11" t="n">
        <v>5.1</v>
      </c>
      <c r="D19" s="11" t="n">
        <v>9</v>
      </c>
      <c r="Z19" s="10" t="str">
        <f aca="false" t="array" ref="Z19:Z21">IF(G5="Similac HMF", IF(G3="Breast milk", {"Packets";"Teaspoons";"Grams";"Scoops"}, {"Packets";"Grams";"Scoops"}), IF(G3="Breast milk", {"Teaspoons";"Grams";"Scoops"}, {"Grams";"Scoops"}))</f>
        <v>Teaspoons</v>
      </c>
    </row>
    <row r="20" customFormat="false" ht="15" hidden="false" customHeight="false" outlineLevel="0" collapsed="false">
      <c r="A20" s="11" t="s">
        <v>44</v>
      </c>
      <c r="B20" s="11" t="n">
        <v>0.8</v>
      </c>
      <c r="C20" s="11" t="n">
        <v>4.8</v>
      </c>
      <c r="D20" s="11" t="n">
        <v>9.5</v>
      </c>
      <c r="Z20" s="10" t="str">
        <v>Grams</v>
      </c>
    </row>
    <row r="21" customFormat="false" ht="15" hidden="false" customHeight="false" outlineLevel="0" collapsed="false">
      <c r="A21" s="11" t="s">
        <v>45</v>
      </c>
      <c r="B21" s="11" t="n">
        <v>0.8</v>
      </c>
      <c r="C21" s="11" t="n">
        <v>4.8</v>
      </c>
      <c r="D21" s="11" t="n">
        <v>9.5</v>
      </c>
      <c r="Z21" s="10" t="str">
        <v>Scoops</v>
      </c>
    </row>
    <row r="22" customFormat="false" ht="15" hidden="false" customHeight="false" outlineLevel="0" collapsed="false">
      <c r="A22" s="11" t="s">
        <v>46</v>
      </c>
      <c r="B22" s="11" t="n">
        <v>0.8</v>
      </c>
      <c r="C22" s="11" t="n">
        <v>5</v>
      </c>
      <c r="D22" s="11" t="n">
        <v>8</v>
      </c>
    </row>
    <row r="23" customFormat="false" ht="15" hidden="false" customHeight="false" outlineLevel="0" collapsed="false">
      <c r="A23" s="11" t="s">
        <v>47</v>
      </c>
      <c r="B23" s="11" t="n">
        <v>0.75</v>
      </c>
      <c r="C23" s="11" t="n">
        <v>5</v>
      </c>
      <c r="D23" s="11" t="n">
        <v>9.5</v>
      </c>
    </row>
    <row r="24" customFormat="false" ht="15" hidden="false" customHeight="false" outlineLevel="0" collapsed="false">
      <c r="A24" s="11" t="s">
        <v>48</v>
      </c>
      <c r="B24" s="11" t="n">
        <v>0.75</v>
      </c>
      <c r="C24" s="11" t="n">
        <v>4.8</v>
      </c>
      <c r="D24" s="11" t="n">
        <v>8.9</v>
      </c>
    </row>
    <row r="25" customFormat="false" ht="15" hidden="false" customHeight="false" outlineLevel="0" collapsed="false">
      <c r="A25" s="11" t="s">
        <v>49</v>
      </c>
      <c r="B25" s="11" t="n">
        <v>0.77</v>
      </c>
      <c r="C25" s="11" t="n">
        <v>4.8</v>
      </c>
      <c r="D25" s="11" t="n">
        <v>9.4</v>
      </c>
    </row>
    <row r="26" customFormat="false" ht="15" hidden="false" customHeight="false" outlineLevel="0" collapsed="false">
      <c r="A26" s="11" t="s">
        <v>50</v>
      </c>
      <c r="B26" s="11" t="n">
        <v>0.75</v>
      </c>
      <c r="C26" s="11" t="n">
        <v>5.1</v>
      </c>
      <c r="D26" s="11" t="n">
        <v>8.3</v>
      </c>
    </row>
    <row r="27" customFormat="false" ht="15" hidden="false" customHeight="false" outlineLevel="0" collapsed="false">
      <c r="A27" s="11" t="s">
        <v>51</v>
      </c>
      <c r="B27" s="11" t="n">
        <v>0.76</v>
      </c>
      <c r="C27" s="11" t="n">
        <v>5.1</v>
      </c>
      <c r="D27" s="11" t="n">
        <v>8.3</v>
      </c>
    </row>
    <row r="28" customFormat="false" ht="15" hidden="false" customHeight="false" outlineLevel="0" collapsed="false">
      <c r="A28" s="11" t="s">
        <v>52</v>
      </c>
      <c r="B28" s="11" t="n">
        <v>0.77</v>
      </c>
      <c r="C28" s="11" t="n">
        <v>4.8</v>
      </c>
      <c r="D28" s="11" t="n">
        <v>9.1</v>
      </c>
    </row>
    <row r="29" customFormat="false" ht="15" hidden="false" customHeight="false" outlineLevel="0" collapsed="false">
      <c r="A29" s="11" t="s">
        <v>53</v>
      </c>
      <c r="B29" s="11" t="n">
        <v>1</v>
      </c>
      <c r="C29" s="11" t="n">
        <v>1.4</v>
      </c>
      <c r="D29" s="11" t="n">
        <v>5</v>
      </c>
    </row>
    <row r="30" customFormat="false" ht="15" hidden="false" customHeight="false" outlineLevel="0" collapsed="false">
      <c r="A30" s="11" t="s">
        <v>54</v>
      </c>
      <c r="B30" s="11" t="n">
        <v>0.77</v>
      </c>
      <c r="C30" s="11" t="n">
        <v>5.1</v>
      </c>
      <c r="D30" s="11" t="n">
        <v>8.8</v>
      </c>
    </row>
    <row r="31" customFormat="false" ht="15" hidden="false" customHeight="false" outlineLevel="0" collapsed="false">
      <c r="A31" s="11" t="s">
        <v>7</v>
      </c>
      <c r="B31" s="11" t="n">
        <v>0.79</v>
      </c>
      <c r="C31" s="11" t="n">
        <v>5.14</v>
      </c>
      <c r="D31" s="11" t="n">
        <v>9.6</v>
      </c>
    </row>
    <row r="32" customFormat="false" ht="15" hidden="false" customHeight="false" outlineLevel="0" collapsed="false">
      <c r="A32" s="11" t="s">
        <v>55</v>
      </c>
      <c r="B32" s="11" t="n">
        <v>0.75</v>
      </c>
      <c r="C32" s="11" t="n">
        <v>5.1</v>
      </c>
      <c r="D32" s="11" t="n">
        <v>8.3</v>
      </c>
    </row>
    <row r="33" customFormat="false" ht="15" hidden="false" customHeight="false" outlineLevel="0" collapsed="false">
      <c r="A33" s="11" t="s">
        <v>56</v>
      </c>
      <c r="B33" s="11" t="n">
        <v>0.75</v>
      </c>
      <c r="C33" s="11" t="n">
        <v>5.1</v>
      </c>
      <c r="D33" s="11" t="n">
        <v>8.3</v>
      </c>
    </row>
    <row r="34" customFormat="false" ht="15" hidden="false" customHeight="false" outlineLevel="0" collapsed="false">
      <c r="A34" s="11" t="s">
        <v>57</v>
      </c>
      <c r="B34" s="11" t="n">
        <v>0.78</v>
      </c>
      <c r="C34" s="11" t="n">
        <v>5.03</v>
      </c>
      <c r="D34" s="11" t="n">
        <v>8.4</v>
      </c>
    </row>
    <row r="35" customFormat="false" ht="15" hidden="false" customHeight="false" outlineLevel="0" collapsed="false">
      <c r="A35" s="11" t="s">
        <v>58</v>
      </c>
      <c r="B35" s="11" t="n">
        <v>0.75</v>
      </c>
      <c r="C35" s="11" t="n">
        <v>4</v>
      </c>
      <c r="D35" s="11" t="n">
        <v>8</v>
      </c>
    </row>
    <row r="50" customFormat="false" ht="22.5" hidden="false" customHeight="true" outlineLevel="0" collapsed="false">
      <c r="F50" s="28" t="s">
        <v>59</v>
      </c>
      <c r="G50" s="28" t="s">
        <v>60</v>
      </c>
      <c r="H50" s="29" t="s">
        <v>61</v>
      </c>
    </row>
    <row r="51" customFormat="false" ht="22.5" hidden="false" customHeight="true" outlineLevel="0" collapsed="false">
      <c r="F51" s="30" t="s">
        <v>62</v>
      </c>
      <c r="G51" s="30" t="s">
        <v>63</v>
      </c>
      <c r="H51" s="31" t="s">
        <v>64</v>
      </c>
    </row>
    <row r="52" customFormat="false" ht="22.5" hidden="false" customHeight="true" outlineLevel="0" collapsed="false">
      <c r="F52" s="30" t="s">
        <v>65</v>
      </c>
      <c r="G52" s="30" t="s">
        <v>66</v>
      </c>
      <c r="H52" s="31" t="s">
        <v>67</v>
      </c>
    </row>
    <row r="53" customFormat="false" ht="22.5" hidden="false" customHeight="true" outlineLevel="0" collapsed="false">
      <c r="F53" s="30" t="s">
        <v>68</v>
      </c>
      <c r="G53" s="30" t="s">
        <v>25</v>
      </c>
      <c r="H53" s="31" t="s">
        <v>69</v>
      </c>
    </row>
    <row r="54" customFormat="false" ht="22.5" hidden="false" customHeight="true" outlineLevel="0" collapsed="false">
      <c r="F54" s="30" t="s">
        <v>70</v>
      </c>
      <c r="G54" s="30" t="s">
        <v>6</v>
      </c>
      <c r="H54" s="31" t="s">
        <v>71</v>
      </c>
    </row>
    <row r="55" customFormat="false" ht="22.5" hidden="false" customHeight="true" outlineLevel="0" collapsed="false">
      <c r="F55" s="30" t="s">
        <v>72</v>
      </c>
      <c r="G55" s="30" t="s">
        <v>29</v>
      </c>
      <c r="H55" s="31" t="s">
        <v>73</v>
      </c>
    </row>
    <row r="56" customFormat="false" ht="22.5" hidden="false" customHeight="true" outlineLevel="0" collapsed="false">
      <c r="F56" s="30" t="s">
        <v>74</v>
      </c>
      <c r="G56" s="30" t="s">
        <v>75</v>
      </c>
      <c r="H56" s="31" t="s">
        <v>76</v>
      </c>
    </row>
    <row r="57" customFormat="false" ht="22.5" hidden="false" customHeight="true" outlineLevel="0" collapsed="false">
      <c r="F57" s="30" t="s">
        <v>77</v>
      </c>
      <c r="G57" s="30" t="s">
        <v>78</v>
      </c>
      <c r="H57" s="31" t="s">
        <v>79</v>
      </c>
    </row>
  </sheetData>
  <mergeCells count="3">
    <mergeCell ref="F1:G1"/>
    <mergeCell ref="F2:G2"/>
    <mergeCell ref="F8:G8"/>
  </mergeCells>
  <dataValidations count="4">
    <dataValidation allowBlank="true" errorStyle="stop" operator="between" showDropDown="false" showErrorMessage="true" showInputMessage="false" sqref="G5" type="list">
      <formula1>Calculator!$A$3:$A$36</formula1>
      <formula2>0</formula2>
    </dataValidation>
    <dataValidation allowBlank="true" errorStyle="stop" operator="between" showDropDown="false" showErrorMessage="false" showInputMessage="false" sqref="G7" type="list">
      <formula1>"Grams,Scoops,Teaspoons,Tablespoons,Packets"</formula1>
      <formula2>0</formula2>
    </dataValidation>
    <dataValidation allowBlank="true" errorStyle="stop" operator="between" showDropDown="false" showErrorMessage="true" showInputMessage="false" sqref="G6" type="list">
      <formula1>Calculator!$Z$1:$Z$8</formula1>
      <formula2>0</formula2>
    </dataValidation>
    <dataValidation allowBlank="true" errorStyle="stop" operator="between" showDropDown="false" showErrorMessage="true" showInputMessage="false" sqref="G3" type="list">
      <formula1>"Water,Breast milk"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15625" defaultRowHeight="15" customHeight="true" zeroHeight="false" outlineLevelRow="0" outlineLevelCol="0"/>
  <cols>
    <col collapsed="false" customWidth="true" hidden="false" outlineLevel="0" max="26" min="1" style="0" width="6.25"/>
  </cols>
  <sheetData>
    <row r="1" customFormat="false" ht="14.25" hidden="false" customHeight="true" outlineLevel="0" collapsed="false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customFormat="false" ht="14.25" hidden="false" customHeight="true" outlineLevel="0" collapsed="false">
      <c r="A2" s="33" t="s">
        <v>80</v>
      </c>
    </row>
    <row r="3" customFormat="false" ht="14.25" hidden="false" customHeight="true" outlineLevel="0" collapsed="false">
      <c r="A3" s="34"/>
      <c r="B3" s="34"/>
      <c r="C3" s="34"/>
      <c r="D3" s="35"/>
      <c r="E3" s="35"/>
      <c r="F3" s="35"/>
    </row>
    <row r="4" customFormat="false" ht="14.25" hidden="false" customHeight="true" outlineLevel="0" collapsed="false">
      <c r="A4" s="33" t="s">
        <v>81</v>
      </c>
      <c r="B4" s="36"/>
      <c r="C4" s="36"/>
      <c r="D4" s="36"/>
      <c r="E4" s="37" t="n">
        <v>0.76</v>
      </c>
      <c r="F4" s="33" t="s">
        <v>82</v>
      </c>
    </row>
    <row r="5" customFormat="false" ht="14.25" hidden="false" customHeight="true" outlineLevel="0" collapsed="false">
      <c r="A5" s="33"/>
      <c r="B5" s="33"/>
      <c r="C5" s="33"/>
      <c r="D5" s="36"/>
      <c r="E5" s="36"/>
      <c r="F5" s="36"/>
    </row>
    <row r="6" customFormat="false" ht="14.25" hidden="false" customHeight="true" outlineLevel="0" collapsed="false">
      <c r="A6" s="33" t="s">
        <v>83</v>
      </c>
      <c r="B6" s="33"/>
      <c r="C6" s="33"/>
      <c r="D6" s="36"/>
      <c r="E6" s="37" t="n">
        <v>4.69</v>
      </c>
      <c r="F6" s="33" t="s">
        <v>84</v>
      </c>
      <c r="H6" s="38" t="s">
        <v>85</v>
      </c>
      <c r="I6" s="34"/>
    </row>
    <row r="7" customFormat="false" ht="14.25" hidden="false" customHeight="true" outlineLevel="0" collapsed="false">
      <c r="A7" s="33"/>
      <c r="B7" s="33"/>
      <c r="C7" s="39" t="n">
        <f aca="false">(E8/$E$6)/($E$7-(E8/$E$6)*($E$4))</f>
        <v>0.238494147949845</v>
      </c>
      <c r="D7" s="36"/>
      <c r="E7" s="40" t="n">
        <v>29.57</v>
      </c>
      <c r="F7" s="33"/>
      <c r="H7" s="41" t="n">
        <f aca="false">E10/(1+($C$7*$E$4))</f>
        <v>200.633977558942</v>
      </c>
      <c r="I7" s="34" t="s">
        <v>86</v>
      </c>
    </row>
    <row r="8" customFormat="false" ht="14.25" hidden="false" customHeight="true" outlineLevel="0" collapsed="false">
      <c r="A8" s="33" t="s">
        <v>87</v>
      </c>
      <c r="B8" s="36"/>
      <c r="C8" s="36"/>
      <c r="D8" s="36"/>
      <c r="E8" s="37" t="n">
        <v>28</v>
      </c>
      <c r="F8" s="33" t="s">
        <v>88</v>
      </c>
      <c r="H8" s="42" t="n">
        <f aca="false">H7*$C$7</f>
        <v>47.8500295277081</v>
      </c>
      <c r="I8" s="34" t="s">
        <v>89</v>
      </c>
    </row>
    <row r="9" customFormat="false" ht="14.25" hidden="false" customHeight="true" outlineLevel="0" collapsed="false">
      <c r="A9" s="34"/>
      <c r="C9" s="39"/>
      <c r="D9" s="39"/>
      <c r="E9" s="43"/>
      <c r="F9" s="43"/>
      <c r="G9" s="39"/>
      <c r="H9" s="42" t="n">
        <f aca="false">(H8/E12)</f>
        <v>5.03684521344296</v>
      </c>
      <c r="I9" s="34" t="s">
        <v>90</v>
      </c>
      <c r="J9" s="39"/>
      <c r="K9" s="39"/>
      <c r="L9" s="39"/>
      <c r="M9" s="39"/>
      <c r="N9" s="39"/>
      <c r="O9" s="39"/>
    </row>
    <row r="10" customFormat="false" ht="14.25" hidden="false" customHeight="true" outlineLevel="0" collapsed="false">
      <c r="A10" s="33" t="s">
        <v>91</v>
      </c>
      <c r="B10" s="44"/>
      <c r="C10" s="43"/>
      <c r="D10" s="43"/>
      <c r="E10" s="45" t="n">
        <v>237</v>
      </c>
      <c r="F10" s="33" t="s">
        <v>92</v>
      </c>
      <c r="G10" s="43"/>
      <c r="H10" s="42" t="e">
        <f aca="false">(H8/E14)</f>
        <v>#DIV/0!</v>
      </c>
      <c r="I10" s="34" t="s">
        <v>12</v>
      </c>
      <c r="J10" s="43"/>
      <c r="K10" s="44"/>
      <c r="L10" s="43"/>
      <c r="M10" s="43"/>
      <c r="N10" s="44"/>
      <c r="O10" s="43"/>
    </row>
    <row r="11" customFormat="false" ht="14.25" hidden="false" customHeight="true" outlineLevel="0" collapsed="false">
      <c r="A11" s="33"/>
      <c r="B11" s="44"/>
      <c r="C11" s="43"/>
      <c r="D11" s="43"/>
      <c r="E11" s="38"/>
      <c r="F11" s="33"/>
      <c r="G11" s="43"/>
      <c r="H11" s="42" t="e">
        <f aca="false">(H8/E16)</f>
        <v>#DIV/0!</v>
      </c>
      <c r="I11" s="34" t="s">
        <v>93</v>
      </c>
      <c r="J11" s="43"/>
      <c r="K11" s="44"/>
      <c r="L11" s="43"/>
      <c r="M11" s="43"/>
      <c r="N11" s="44"/>
      <c r="O11" s="43"/>
    </row>
    <row r="12" customFormat="false" ht="14.25" hidden="false" customHeight="true" outlineLevel="0" collapsed="false">
      <c r="A12" s="33" t="s">
        <v>94</v>
      </c>
      <c r="B12" s="44"/>
      <c r="C12" s="43"/>
      <c r="D12" s="43"/>
      <c r="E12" s="46" t="n">
        <v>9.5</v>
      </c>
      <c r="F12" s="33" t="s">
        <v>95</v>
      </c>
      <c r="G12" s="43"/>
      <c r="H12" s="44"/>
      <c r="J12" s="43"/>
      <c r="K12" s="44"/>
      <c r="L12" s="43"/>
      <c r="M12" s="43"/>
      <c r="N12" s="44"/>
      <c r="O12" s="43"/>
    </row>
    <row r="13" customFormat="false" ht="14.25" hidden="false" customHeight="true" outlineLevel="0" collapsed="false">
      <c r="A13" s="33"/>
      <c r="B13" s="44"/>
      <c r="C13" s="43"/>
      <c r="D13" s="43"/>
      <c r="E13" s="38"/>
      <c r="F13" s="33"/>
      <c r="G13" s="43"/>
      <c r="H13" s="44"/>
      <c r="I13" s="43"/>
      <c r="J13" s="43"/>
      <c r="K13" s="44"/>
      <c r="L13" s="43"/>
      <c r="M13" s="43"/>
      <c r="N13" s="44"/>
      <c r="O13" s="43"/>
    </row>
    <row r="14" customFormat="false" ht="14.25" hidden="false" customHeight="true" outlineLevel="0" collapsed="false">
      <c r="A14" s="33" t="s">
        <v>96</v>
      </c>
      <c r="B14" s="44"/>
      <c r="C14" s="43"/>
      <c r="D14" s="43"/>
      <c r="E14" s="46"/>
      <c r="F14" s="33" t="s">
        <v>97</v>
      </c>
      <c r="G14" s="43"/>
      <c r="H14" s="44"/>
      <c r="I14" s="43"/>
      <c r="J14" s="43"/>
      <c r="K14" s="44"/>
      <c r="L14" s="43"/>
      <c r="M14" s="43"/>
      <c r="N14" s="44"/>
      <c r="O14" s="43"/>
    </row>
    <row r="15" customFormat="false" ht="14.25" hidden="false" customHeight="true" outlineLevel="0" collapsed="false">
      <c r="A15" s="33"/>
      <c r="B15" s="44"/>
      <c r="C15" s="43"/>
      <c r="D15" s="43"/>
      <c r="E15" s="38"/>
      <c r="F15" s="33"/>
      <c r="G15" s="43"/>
      <c r="H15" s="44"/>
      <c r="I15" s="43"/>
      <c r="J15" s="43"/>
      <c r="K15" s="44"/>
      <c r="L15" s="43"/>
      <c r="M15" s="43"/>
      <c r="N15" s="44"/>
      <c r="O15" s="43"/>
    </row>
    <row r="16" customFormat="false" ht="14.25" hidden="false" customHeight="true" outlineLevel="0" collapsed="false">
      <c r="A16" s="33" t="s">
        <v>98</v>
      </c>
      <c r="B16" s="44"/>
      <c r="C16" s="43"/>
      <c r="D16" s="43"/>
      <c r="E16" s="46"/>
      <c r="F16" s="33" t="s">
        <v>99</v>
      </c>
      <c r="G16" s="43"/>
      <c r="H16" s="44"/>
      <c r="I16" s="43"/>
      <c r="J16" s="43"/>
      <c r="K16" s="44"/>
      <c r="L16" s="43"/>
      <c r="M16" s="43"/>
      <c r="N16" s="44"/>
      <c r="O16" s="43"/>
    </row>
    <row r="17" customFormat="false" ht="14.25" hidden="false" customHeight="true" outlineLevel="0" collapsed="false">
      <c r="A17" s="35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</row>
    <row r="18" customFormat="false" ht="14.25" hidden="false" customHeight="true" outlineLevel="0" collapsed="false">
      <c r="A18" s="47"/>
      <c r="B18" s="32"/>
      <c r="C18" s="32"/>
      <c r="D18" s="47"/>
      <c r="E18" s="48"/>
      <c r="F18" s="48"/>
      <c r="G18" s="47"/>
      <c r="H18" s="48"/>
      <c r="I18" s="48"/>
      <c r="J18" s="47"/>
      <c r="K18" s="48"/>
      <c r="L18" s="48"/>
      <c r="M18" s="47"/>
      <c r="N18" s="48"/>
      <c r="O18" s="48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customFormat="false" ht="14.25" hidden="false" customHeight="true" outlineLevel="0" collapsed="false">
      <c r="A19" s="33" t="s">
        <v>100</v>
      </c>
      <c r="D19" s="34"/>
      <c r="E19" s="41"/>
      <c r="F19" s="34"/>
      <c r="G19" s="34"/>
      <c r="H19" s="41"/>
      <c r="I19" s="34"/>
      <c r="J19" s="34"/>
      <c r="K19" s="41"/>
      <c r="L19" s="34"/>
      <c r="M19" s="34"/>
      <c r="N19" s="41"/>
      <c r="O19" s="34"/>
    </row>
    <row r="20" customFormat="false" ht="14.25" hidden="false" customHeight="true" outlineLevel="0" collapsed="false">
      <c r="D20" s="34"/>
      <c r="E20" s="42"/>
      <c r="F20" s="34"/>
      <c r="G20" s="34"/>
      <c r="H20" s="42"/>
      <c r="I20" s="34"/>
      <c r="J20" s="34"/>
      <c r="K20" s="42"/>
      <c r="L20" s="34"/>
      <c r="M20" s="34"/>
      <c r="N20" s="42"/>
      <c r="O20" s="34"/>
    </row>
    <row r="21" customFormat="false" ht="14.25" hidden="false" customHeight="true" outlineLevel="0" collapsed="false">
      <c r="A21" s="33" t="s">
        <v>101</v>
      </c>
      <c r="B21" s="36"/>
      <c r="C21" s="36"/>
      <c r="D21" s="36"/>
      <c r="E21" s="37"/>
      <c r="F21" s="33" t="s">
        <v>82</v>
      </c>
      <c r="G21" s="35"/>
      <c r="H21" s="35"/>
      <c r="I21" s="35"/>
      <c r="J21" s="35"/>
    </row>
    <row r="22" customFormat="false" ht="14.25" hidden="false" customHeight="true" outlineLevel="0" collapsed="false">
      <c r="A22" s="33"/>
      <c r="B22" s="33"/>
      <c r="C22" s="33"/>
      <c r="D22" s="36"/>
      <c r="E22" s="36"/>
      <c r="F22" s="36"/>
      <c r="G22" s="35"/>
      <c r="H22" s="35"/>
      <c r="I22" s="35"/>
      <c r="J22" s="35"/>
    </row>
    <row r="23" customFormat="false" ht="14.25" hidden="false" customHeight="true" outlineLevel="0" collapsed="false">
      <c r="A23" s="33" t="s">
        <v>83</v>
      </c>
      <c r="B23" s="33"/>
      <c r="C23" s="33"/>
      <c r="D23" s="36"/>
      <c r="E23" s="37"/>
      <c r="F23" s="33" t="s">
        <v>84</v>
      </c>
      <c r="G23" s="35"/>
      <c r="H23" s="33" t="s">
        <v>85</v>
      </c>
      <c r="I23" s="35"/>
      <c r="J23" s="35"/>
    </row>
    <row r="24" customFormat="false" ht="14.25" hidden="false" customHeight="true" outlineLevel="0" collapsed="false">
      <c r="A24" s="33"/>
      <c r="B24" s="33"/>
      <c r="C24" s="33"/>
      <c r="D24" s="36"/>
      <c r="E24" s="33"/>
      <c r="F24" s="33"/>
      <c r="G24" s="35"/>
      <c r="H24" s="41" t="e">
        <f aca="false">E29/(1+$C$28*$E$21)</f>
        <v>#DIV/0!</v>
      </c>
      <c r="I24" s="34" t="s">
        <v>102</v>
      </c>
      <c r="J24" s="35"/>
    </row>
    <row r="25" customFormat="false" ht="14.25" hidden="false" customHeight="true" outlineLevel="0" collapsed="false">
      <c r="A25" s="33" t="s">
        <v>103</v>
      </c>
      <c r="B25" s="36"/>
      <c r="C25" s="36"/>
      <c r="D25" s="36"/>
      <c r="E25" s="37"/>
      <c r="F25" s="33" t="s">
        <v>88</v>
      </c>
      <c r="G25" s="35"/>
      <c r="H25" s="42" t="e">
        <f aca="false">H24*$C$28</f>
        <v>#DIV/0!</v>
      </c>
      <c r="I25" s="34" t="s">
        <v>89</v>
      </c>
      <c r="J25" s="35"/>
    </row>
    <row r="26" customFormat="false" ht="14.25" hidden="false" customHeight="true" outlineLevel="0" collapsed="false">
      <c r="A26" s="34"/>
      <c r="B26" s="39"/>
      <c r="C26" s="39"/>
      <c r="D26" s="39"/>
      <c r="E26" s="43" t="n">
        <v>29.57</v>
      </c>
      <c r="F26" s="43" t="s">
        <v>104</v>
      </c>
      <c r="G26" s="39"/>
      <c r="H26" s="42" t="e">
        <f aca="false">(H25/E31)</f>
        <v>#DIV/0!</v>
      </c>
      <c r="I26" s="34" t="s">
        <v>90</v>
      </c>
      <c r="J26" s="39"/>
    </row>
    <row r="27" customFormat="false" ht="14.25" hidden="false" customHeight="true" outlineLevel="0" collapsed="false">
      <c r="A27" s="33" t="s">
        <v>87</v>
      </c>
      <c r="B27" s="44"/>
      <c r="C27" s="43"/>
      <c r="D27" s="43"/>
      <c r="E27" s="37"/>
      <c r="F27" s="33" t="s">
        <v>88</v>
      </c>
      <c r="G27" s="43"/>
      <c r="H27" s="42" t="e">
        <f aca="false">(H25/E33)</f>
        <v>#DIV/0!</v>
      </c>
      <c r="I27" s="34" t="s">
        <v>12</v>
      </c>
      <c r="J27" s="43"/>
    </row>
    <row r="28" customFormat="false" ht="14.25" hidden="false" customHeight="true" outlineLevel="0" collapsed="false">
      <c r="A28" s="35"/>
      <c r="B28" s="43"/>
      <c r="C28" s="43" t="e">
        <f aca="false">(((E27-$E$26*($E$25/$E$26))/(($E$23/$E$21)-($E$25/$E$26)))*(1/$E$21))/($E$26-((E27-$E$26*($E$25/$E$26))/(($E$23/$E$21)-($E$25/$E$26))))</f>
        <v>#DIV/0!</v>
      </c>
      <c r="D28" s="43"/>
      <c r="E28" s="43"/>
      <c r="F28" s="43"/>
      <c r="G28" s="43"/>
      <c r="H28" s="42" t="e">
        <f aca="false">(H25/E35)</f>
        <v>#DIV/0!</v>
      </c>
      <c r="I28" s="34" t="s">
        <v>93</v>
      </c>
      <c r="J28" s="43"/>
    </row>
    <row r="29" customFormat="false" ht="14.25" hidden="false" customHeight="true" outlineLevel="0" collapsed="false">
      <c r="A29" s="33" t="s">
        <v>91</v>
      </c>
      <c r="B29" s="36"/>
      <c r="C29" s="36"/>
      <c r="D29" s="33"/>
      <c r="E29" s="45"/>
      <c r="F29" s="33" t="s">
        <v>92</v>
      </c>
      <c r="G29" s="34"/>
      <c r="H29" s="33"/>
      <c r="I29" s="33"/>
      <c r="J29" s="34"/>
    </row>
    <row r="30" customFormat="false" ht="14.25" hidden="false" customHeight="true" outlineLevel="0" collapsed="false">
      <c r="A30" s="35"/>
      <c r="B30" s="35"/>
      <c r="C30" s="35"/>
      <c r="D30" s="34"/>
      <c r="E30" s="41"/>
      <c r="F30" s="34"/>
      <c r="G30" s="34"/>
      <c r="H30" s="41"/>
      <c r="I30" s="34"/>
      <c r="J30" s="34"/>
    </row>
    <row r="31" customFormat="false" ht="14.25" hidden="false" customHeight="true" outlineLevel="0" collapsed="false">
      <c r="A31" s="33" t="s">
        <v>94</v>
      </c>
      <c r="E31" s="37"/>
      <c r="F31" s="33" t="s">
        <v>95</v>
      </c>
    </row>
    <row r="32" customFormat="false" ht="14.25" hidden="false" customHeight="true" outlineLevel="0" collapsed="false">
      <c r="A32" s="33"/>
      <c r="E32" s="33"/>
      <c r="F32" s="33"/>
    </row>
    <row r="33" customFormat="false" ht="14.25" hidden="false" customHeight="true" outlineLevel="0" collapsed="false">
      <c r="A33" s="33" t="s">
        <v>96</v>
      </c>
      <c r="E33" s="37"/>
      <c r="F33" s="33" t="s">
        <v>97</v>
      </c>
    </row>
    <row r="34" customFormat="false" ht="14.25" hidden="false" customHeight="true" outlineLevel="0" collapsed="false">
      <c r="A34" s="33"/>
      <c r="E34" s="33"/>
      <c r="F34" s="33"/>
    </row>
    <row r="35" customFormat="false" ht="14.25" hidden="false" customHeight="true" outlineLevel="0" collapsed="false">
      <c r="A35" s="33" t="s">
        <v>98</v>
      </c>
      <c r="E35" s="37"/>
      <c r="F35" s="33" t="s">
        <v>99</v>
      </c>
    </row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2026-04-07T11:28:06Z</dcterms:modified>
  <cp:revision>1</cp:revision>
  <dc:subject/>
  <dc:title/>
</cp:coreProperties>
</file>
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<sst xmlns="http://schemas.openxmlformats.org/spreadsheetml/2006/main" count="26" uniqueCount="25">
  <si>
    <t>TPN</t>
  </si>
  <si>
    <t>Dextrose%</t>
  </si>
  <si>
    <t>Dextrose (ml)</t>
  </si>
  <si>
    <t>Dextrose %</t>
  </si>
  <si>
    <t>SMOF (ml)</t>
  </si>
  <si>
    <t>Enteral</t>
  </si>
  <si>
    <t>Enteral kcal/oz</t>
  </si>
  <si>
    <t>Enteral volume</t>
  </si>
  <si>
    <t>Calculations (calculated for you)</t>
  </si>
  <si>
    <t>Wt (kg)</t>
  </si>
  <si>
    <t>Dextrose kcal</t>
  </si>
  <si>
    <t>IL kcal</t>
  </si>
  <si>
    <t>Enteral kcal</t>
  </si>
  <si>
    <t>Ml/kg</t>
  </si>
  <si>
    <t>Total Kcal/kg</t>
  </si>
  <si>
    <t>Auto Advance</t>
  </si>
  <si>
    <t>Nutrition Calculations</t>
  </si>
  <si>
    <t>Weight</t>
  </si>
  <si>
    <t>kg</t>
  </si>
  <si>
    <t>Trophic (ml/kg)</t>
  </si>
  <si>
    <t>Auto-advance (ml/kg)</t>
  </si>
  <si>
    <t>Goal (ml/kg)</t>
  </si>
  <si>
    <t>Total fluids rate (ml/hr)</t>
  </si>
  <si>
    <t>Enteral Feeds (q 3 hr)</t>
  </si>
  <si>
    <t xml:space="preserve">IV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</si>
</sst>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2" xfId="0" applyFont="1" applyNumberFormat="1"/>
    <xf borderId="0" fillId="5" fontId="1" numFmtId="0" xfId="0" applyAlignment="1" applyFill="1" applyFont="1">
      <alignment readingOrder="0"/>
    </xf>
    <xf borderId="0" fillId="5" fontId="1" numFmtId="2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</row>
    <row r="3">
      <c r="A3" s="3" t="s">
        <v>1</v>
      </c>
      <c r="B3" s="3">
        <v>0.0</v>
      </c>
    </row>
    <row r="4">
      <c r="A4" s="3" t="s">
        <v>2</v>
      </c>
      <c r="B4" s="3">
        <v>56.0</v>
      </c>
    </row>
    <row r="5">
      <c r="A5" s="3" t="s">
        <v>3</v>
      </c>
      <c r="B5" s="3">
        <v>0.0</v>
      </c>
    </row>
    <row r="6">
      <c r="A6" s="3" t="s">
        <v>2</v>
      </c>
      <c r="B6" s="3">
        <v>0.0</v>
      </c>
    </row>
    <row r="7">
      <c r="A7" s="3" t="s">
        <v>4</v>
      </c>
      <c r="B7" s="3">
        <v>0.0</v>
      </c>
    </row>
    <row r="8">
      <c r="A8" s="2" t="s">
        <v>5</v>
      </c>
    </row>
    <row r="9">
      <c r="A9" s="4" t="s">
        <v>6</v>
      </c>
      <c r="B9" s="4">
        <v>24.0</v>
      </c>
    </row>
    <row r="10">
      <c r="A10" s="4" t="s">
        <v>7</v>
      </c>
      <c r="B10" s="4">
        <v>200.0</v>
      </c>
    </row>
    <row r="12">
      <c r="A12" s="5" t="s">
        <v>8</v>
      </c>
      <c r="B12" s="6"/>
    </row>
    <row r="13">
      <c r="A13" s="2" t="s">
        <v>9</v>
      </c>
      <c r="B13" s="6">
        <v>1.74</v>
      </c>
    </row>
    <row r="14">
      <c r="A14" s="7" t="s">
        <v>10</v>
      </c>
      <c r="B14" s="8">
        <f>((B3/100*B4)+(B5/100*B6))*3.4</f>
        <v>0</v>
      </c>
    </row>
    <row r="15">
      <c r="A15" s="7" t="s">
        <v>11</v>
      </c>
      <c r="B15" s="8">
        <f>B7*2</f>
        <v>0</v>
      </c>
    </row>
    <row r="16">
      <c r="A16" s="7" t="s">
        <v>12</v>
      </c>
      <c r="B16" s="9">
        <f>(B10*B9)/30</f>
        <v>160</v>
      </c>
    </row>
    <row r="17">
      <c r="A17" s="10" t="s">
        <v>13</v>
      </c>
      <c r="B17" s="11">
        <f>(B4+B6+B10)/B13</f>
        <v>147.1264368</v>
      </c>
    </row>
    <row r="18">
      <c r="A18" s="10" t="s">
        <v>14</v>
      </c>
      <c r="B18" s="11">
        <f>SUM(B14+B15+B16)/B13</f>
        <v>91.95402299</v>
      </c>
    </row>
    <row r="20">
      <c r="A20" s="6" t="s">
        <v>15</v>
      </c>
      <c r="B20" s="12">
        <f>B13*(30)/8/2</f>
        <v>3.2625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16</v>
      </c>
    </row>
    <row r="2">
      <c r="A2" s="6" t="s">
        <v>17</v>
      </c>
      <c r="B2" s="13" t="s">
        <v>18</v>
      </c>
      <c r="C2" s="6">
        <v>1.94</v>
      </c>
    </row>
    <row r="3">
      <c r="A3" s="6" t="s">
        <v>19</v>
      </c>
      <c r="B3" s="6">
        <v>20.0</v>
      </c>
      <c r="C3" s="14">
        <f>(C2*B3)/6</f>
        <v>6.466666667</v>
      </c>
    </row>
    <row r="4">
      <c r="A4" s="6" t="s">
        <v>20</v>
      </c>
      <c r="B4" s="15">
        <v>30.0</v>
      </c>
      <c r="C4" s="12">
        <f>C2*(B4)/8/2</f>
        <v>3.6375</v>
      </c>
    </row>
    <row r="5">
      <c r="A5" s="6" t="s">
        <v>21</v>
      </c>
      <c r="B5" s="6">
        <v>160.0</v>
      </c>
      <c r="C5" s="14">
        <f>C2*B5/8</f>
        <v>38.8</v>
      </c>
    </row>
    <row r="6">
      <c r="A6" s="6"/>
    </row>
    <row r="7">
      <c r="A7" s="6" t="s">
        <v>22</v>
      </c>
      <c r="B7" s="6">
        <v>12.0</v>
      </c>
    </row>
    <row r="8">
      <c r="A8" s="6" t="s">
        <v>23</v>
      </c>
      <c r="B8" s="6">
        <v>9.0</v>
      </c>
    </row>
    <row r="9">
      <c r="A9" s="6" t="s">
        <v>24</v>
      </c>
      <c r="B9" s="14">
        <f>B7-(B8/3)</f>
        <v>9</v>
      </c>
    </row>
  </sheetData>
  <drawing r:id="rId1"/>
</worksheet>
</file>
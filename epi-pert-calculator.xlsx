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atric PERT Tool" sheetId="1" state="visible" r:id="rId3"/>
    <sheet name="Pediatric Tube Feed PERT" sheetId="2" state="visible" r:id="rId4"/>
    <sheet name="Change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<sst xmlns="http://schemas.openxmlformats.org/spreadsheetml/2006/main" count="197" uniqueCount="120">
  <si>
    <t xml:space="preserve">Pediatric PERT Dosing Calculator</t>
  </si>
  <si>
    <t xml:space="preserve">Data verified: 2026-04-02</t>
  </si>
  <si>
    <t xml:space="preserve">Medication</t>
  </si>
  <si>
    <t xml:space="preserve">Strength</t>
  </si>
  <si>
    <t xml:space="preserve">NDA</t>
  </si>
  <si>
    <t xml:space="preserve">Source URL</t>
  </si>
  <si>
    <t xml:space="preserve">Verified</t>
  </si>
  <si>
    <t xml:space="preserve">Weight</t>
  </si>
  <si>
    <t xml:space="preserve">kg</t>
  </si>
  <si>
    <t xml:space="preserve">Creon</t>
  </si>
  <si>
    <t xml:space="preserve">020725</t>
  </si>
  <si>
    <t xml:space="preserve">https://dailymed.nlm.nih.gov/dailymed/drugInfo.cfm?setid=073201aa-556d-4a70-918e-84e9616fd88d</t>
  </si>
  <si>
    <t xml:space="preserve">2026-04-02</t>
  </si>
  <si>
    <t xml:space="preserve">Fat (g)</t>
  </si>
  <si>
    <t xml:space="preserve">Lipase units per g</t>
  </si>
  <si>
    <t xml:space="preserve">Strength (units)</t>
  </si>
  <si>
    <t xml:space="preserve">Total Lipase Needed</t>
  </si>
  <si>
    <t xml:space="preserve">Zenpep</t>
  </si>
  <si>
    <t xml:space="preserve">022210</t>
  </si>
  <si>
    <t xml:space="preserve">https://dailymed.nlm.nih.gov/dailymed/drugInfo.cfm?setid=7f16f2d4-8df6-4bd7-ac10-56994fa257b0</t>
  </si>
  <si>
    <t xml:space="preserve">Capsules Needed</t>
  </si>
  <si>
    <t xml:space="preserve">Max Lipase Units/Day</t>
  </si>
  <si>
    <t xml:space="preserve">Pancreaze</t>
  </si>
  <si>
    <t xml:space="preserve">022523</t>
  </si>
  <si>
    <t xml:space="preserve">https://dailymed.nlm.nih.gov/dailymed/drugInfo.cfm?setid=e8f5d2fe-728d-42af-99a6-83dddc6539c5</t>
  </si>
  <si>
    <t xml:space="preserve">Pertzye</t>
  </si>
  <si>
    <t xml:space="preserve">022175</t>
  </si>
  <si>
    <t xml:space="preserve">https://dailymed.nlm.nih.gov/dailymed/drugInfo.cfm?setid=481eec00-9abf-11dd-b71c-0002a5d5c51b</t>
  </si>
  <si>
    <t xml:space="preserve">Viokace</t>
  </si>
  <si>
    <t xml:space="preserve">022542</t>
  </si>
  <si>
    <t xml:space="preserve">https://dailymed.nlm.nih.gov/dailymed/drugInfo.cfm?setid=58bdb8de-582d-44e6-9b72-8d5a42fdf501</t>
  </si>
  <si>
    <t xml:space="preserve">Lipase Rates (units/g fat)</t>
  </si>
  <si>
    <t xml:space="preserve">Dosing Guideline Sources</t>
  </si>
  <si>
    <t xml:space="preserve">StatPearls Pancrelipase Therapy</t>
  </si>
  <si>
    <t xml:space="preserve">https://www.ncbi.nlm.nih.gov/books/NBK534816/</t>
  </si>
  <si>
    <t xml:space="preserve">CFF Pancreatic Enzymes Guidelines</t>
  </si>
  <si>
    <t xml:space="preserve">https://www.cff.org/medical-professionals/pancreatic-enzymes-clinical-care-guidelines</t>
  </si>
  <si>
    <t xml:space="preserve">PMC Dosing Regimens for PERT in CF</t>
  </si>
  <si>
    <t xml:space="preserve">https://pmc.ncbi.nlm.nih.gov/articles/PMC6923524/</t>
  </si>
  <si>
    <t xml:space="preserve">Pediatric Tube Feed PERT Calculator</t>
  </si>
  <si>
    <t xml:space="preserve">Enteral formula data verified: 2026-04-02</t>
  </si>
  <si>
    <t xml:space="preserve">#</t>
  </si>
  <si>
    <t xml:space="preserve">Formula Name</t>
  </si>
  <si>
    <t xml:space="preserve">Fat (g/L)</t>
  </si>
  <si>
    <t xml:space="preserve">Manufacturer</t>
  </si>
  <si>
    <t xml:space="preserve">Alfamino Junior</t>
  </si>
  <si>
    <t xml:space="preserve">Nestle Health Science</t>
  </si>
  <si>
    <t xml:space="preserve">https://www.nestlemedicalhub.com/products/alfamino-junior</t>
  </si>
  <si>
    <t xml:space="preserve">Select Formula</t>
  </si>
  <si>
    <t xml:space="preserve">Kate Farms Pediatric Standard 1.2</t>
  </si>
  <si>
    <t xml:space="preserve">Compleat Pediatric</t>
  </si>
  <si>
    <t xml:space="preserve">https://www.nestlemedicalhub.com/products/compleat-pediatric</t>
  </si>
  <si>
    <t xml:space="preserve">Compleat Pediatric Organic Blends</t>
  </si>
  <si>
    <t xml:space="preserve">https://www.nestlemedicalhub.com/products/compleat-pediatric-organic-blends-plant-based</t>
  </si>
  <si>
    <t xml:space="preserve">Volume/day (mL)</t>
  </si>
  <si>
    <t xml:space="preserve">EleCare Jr</t>
  </si>
  <si>
    <t xml:space="preserve">Abbott Nutrition</t>
  </si>
  <si>
    <t xml:space="preserve">https://www.abbottnutrition.com/our-products/elecare-jr</t>
  </si>
  <si>
    <t xml:space="preserve">Total Fat (g)</t>
  </si>
  <si>
    <t xml:space="preserve">Equacare Jr</t>
  </si>
  <si>
    <t xml:space="preserve">Ajinomoto Cambrooke</t>
  </si>
  <si>
    <t xml:space="preserve">Needs manual verification</t>
  </si>
  <si>
    <t xml:space="preserve">Kate Farms Pediatric Peptide 1.5</t>
  </si>
  <si>
    <t xml:space="preserve">Kate Farms</t>
  </si>
  <si>
    <t xml:space="preserve">https://shop.katefarms.com/products/pediatric-peptide-1-5</t>
  </si>
  <si>
    <t xml:space="preserve">https://shop.katefarms.com/products/pediatric-standard-1-2</t>
  </si>
  <si>
    <t xml:space="preserve">Neocate Junior</t>
  </si>
  <si>
    <t xml:space="preserve">Nutricia</t>
  </si>
  <si>
    <t xml:space="preserve">https://www.neocate.com/shop/hypoallergenic-formula-and-products/junior</t>
  </si>
  <si>
    <t xml:space="preserve">Nutren Junior</t>
  </si>
  <si>
    <t xml:space="preserve">https://www.nestlemedicalhub.com/products/nutren-junior</t>
  </si>
  <si>
    <t xml:space="preserve">Lipase per kg</t>
  </si>
  <si>
    <t xml:space="preserve">Nutren Junior Fiber</t>
  </si>
  <si>
    <t xml:space="preserve">https://www.nestlemedicalhub.com/products/nutren-junior-fiber</t>
  </si>
  <si>
    <t xml:space="preserve">Capsules Needed per Day</t>
  </si>
  <si>
    <t xml:space="preserve">PediaSure Enteral</t>
  </si>
  <si>
    <t xml:space="preserve">https://www.abbottnutrition.com/our-products/pediasure-enteral-formula-1_0-cal</t>
  </si>
  <si>
    <t xml:space="preserve">Capsules Needed per Month</t>
  </si>
  <si>
    <t xml:space="preserve">PediaSure Grow &amp; Gain</t>
  </si>
  <si>
    <t xml:space="preserve">https://www.abbottnutrition.com/our-products/pediasure-grow-and-gain-shake</t>
  </si>
  <si>
    <t xml:space="preserve">PediaSure Peptide 1.0</t>
  </si>
  <si>
    <t xml:space="preserve">https://www.abbottnutrition.com/our-products/pediasure-peptide-1_0-cal</t>
  </si>
  <si>
    <t xml:space="preserve">Peptamen Junior</t>
  </si>
  <si>
    <t xml:space="preserve">https://www.nestlemedicalhub.com/products/peptamen-junior</t>
  </si>
  <si>
    <t xml:space="preserve">Peptamen Junior 1.5</t>
  </si>
  <si>
    <t xml:space="preserve">https://www.nestlemedicalhub.com/products/peptamen-junior-15</t>
  </si>
  <si>
    <t xml:space="preserve">Peptamen Junior Fiber</t>
  </si>
  <si>
    <t xml:space="preserve">https://www.nestlemedicalhub.com/products/peptamen-junior-fiber</t>
  </si>
  <si>
    <t xml:space="preserve">PurAmino Jr</t>
  </si>
  <si>
    <t xml:space="preserve">Mead Johnson (Reckitt)</t>
  </si>
  <si>
    <t xml:space="preserve">https://hcp.meadjohnson.com/s/product/a4R4J000000PpQvUAK/puramino-jr</t>
  </si>
  <si>
    <t xml:space="preserve">Total formulas:</t>
  </si>
  <si>
    <t xml:space="preserve">Pediatric Data Changelog</t>
  </si>
  <si>
    <t xml:space="preserve">Date</t>
  </si>
  <si>
    <t xml:space="preserve">Change</t>
  </si>
  <si>
    <t xml:space="preserve">Source</t>
  </si>
  <si>
    <t xml:space="preserve">Added Zenpep 60000 strength (FDA-approved)</t>
  </si>
  <si>
    <t xml:space="preserve">FDA/DailyMed</t>
  </si>
  <si>
    <t xml:space="preserve">Corrected Viokase -&gt; Viokace brand name</t>
  </si>
  <si>
    <t xml:space="preserve">Corrected Viokace strength 10444 -&gt; 10440</t>
  </si>
  <si>
    <t xml:space="preserve">Removed Pertzye 2 (spreadsheet noise)</t>
  </si>
  <si>
    <t xml:space="preserve">Audit</t>
  </si>
  <si>
    <t xml:space="preserve">Added FDA DailyMed source citations to all 5 medications</t>
  </si>
  <si>
    <t xml:space="preserve">DailyMed</t>
  </si>
  <si>
    <t xml:space="preserve">PediaSure Grow &amp; Gain: 34 -&gt; 38 g/L</t>
  </si>
  <si>
    <t xml:space="preserve">PediaSure Enteral: 34 -&gt; 38 g/L</t>
  </si>
  <si>
    <t xml:space="preserve">PediaSure Peptide 1.0: 33 -&gt; 41 g/L</t>
  </si>
  <si>
    <t xml:space="preserve">Compleat Pediatric Organic Blends: 46 -&gt; 53 g/L</t>
  </si>
  <si>
    <t xml:space="preserve">Kate Farms Pediatric Standard 1.2: 40 -&gt; 48 g/L</t>
  </si>
  <si>
    <t xml:space="preserve">Kate Farms Pediatric Peptide 1.5: 50 -&gt; 68 g/L</t>
  </si>
  <si>
    <t xml:space="preserve">Nutren Junior: 44 -&gt; 48 g/L</t>
  </si>
  <si>
    <t xml:space="preserve">Nutren Junior Fiber: 44 -&gt; 48 g/L</t>
  </si>
  <si>
    <t xml:space="preserve">Peptamen Junior 1.5: 58 -&gt; 68 g/L</t>
  </si>
  <si>
    <t xml:space="preserve">EleCare Jr: 33 -&gt; 47 g/L</t>
  </si>
  <si>
    <t xml:space="preserve">Neocate Junior: 42 -&gt; 50 g/L</t>
  </si>
  <si>
    <t xml:space="preserve">Alfamino Junior: 47 -&gt; 44 g/L</t>
  </si>
  <si>
    <t xml:space="preserve">PurAmino Jr: 47 -&gt; 51 g/L (manufacturer corrected to Mead Johnson)</t>
  </si>
  <si>
    <t xml:space="preserve">Mead Johnson</t>
  </si>
  <si>
    <t xml:space="preserve">Equacare Jr: kept at 45 g/L (needs manual label verification)</t>
  </si>
  <si>
    <t xml:space="preserve">Pending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</si>
</sst>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name val="Cambria"/>
      <family val="0"/>
      <charset val="1"/>
    </font>
    <font>
      <u val="single"/>
      <sz val="9"/>
      <color rgb="FF1565C0"/>
      <name val="Cambria"/>
      <family val="0"/>
      <charset val="1"/>
    </font>
    <font>
      <b val="true"/>
      <sz val="14"/>
      <color rgb="FF1A1A2E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E8F5E9"/>
        <bgColor rgb="FFFFF3E0"/>
      </patternFill>
    </fill>
    <fill>
      <patternFill patternType="solid">
        <fgColor rgb="FFFFF3E0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1565C0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ailymed.nlm.nih.gov/dailymed/drugInfo.cfm?setid=073201aa-556d-4a70-918e-84e9616fd88d" TargetMode="External"/><Relationship Id="rId2" Type="http://schemas.openxmlformats.org/officeDocument/2006/relationships/hyperlink" Target="https://dailymed.nlm.nih.gov/dailymed/drugInfo.cfm?setid=7f16f2d4-8df6-4bd7-ac10-56994fa257b0" TargetMode="External"/><Relationship Id="rId3" Type="http://schemas.openxmlformats.org/officeDocument/2006/relationships/hyperlink" Target="https://dailymed.nlm.nih.gov/dailymed/drugInfo.cfm?setid=e8f5d2fe-728d-42af-99a6-83dddc6539c5" TargetMode="External"/><Relationship Id="rId4" Type="http://schemas.openxmlformats.org/officeDocument/2006/relationships/hyperlink" Target="https://dailymed.nlm.nih.gov/dailymed/drugInfo.cfm?setid=481eec00-9abf-11dd-b71c-0002a5d5c51b" TargetMode="External"/><Relationship Id="rId5" Type="http://schemas.openxmlformats.org/officeDocument/2006/relationships/hyperlink" Target="https://dailymed.nlm.nih.gov/dailymed/drugInfo.cfm?setid=58bdb8de-582d-44e6-9b72-8d5a42fdf501" TargetMode="External"/><Relationship Id="rId6" Type="http://schemas.openxmlformats.org/officeDocument/2006/relationships/hyperlink" Target="https://www.ncbi.nlm.nih.gov/books/NBK534816/" TargetMode="External"/><Relationship Id="rId7" Type="http://schemas.openxmlformats.org/officeDocument/2006/relationships/hyperlink" Target="https://www.cff.org/medical-professionals/pancreatic-enzymes-clinical-care-guidelines" TargetMode="External"/><Relationship Id="rId8" Type="http://schemas.openxmlformats.org/officeDocument/2006/relationships/hyperlink" Target="https://pmc.ncbi.nlm.nih.gov/articles/PMC6923524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nestlemedicalhub.com/products/alfamino-junior" TargetMode="External"/><Relationship Id="rId2" Type="http://schemas.openxmlformats.org/officeDocument/2006/relationships/hyperlink" Target="https://www.nestlemedicalhub.com/products/compleat-pediatric" TargetMode="External"/><Relationship Id="rId3" Type="http://schemas.openxmlformats.org/officeDocument/2006/relationships/hyperlink" Target="https://www.nestlemedicalhub.com/products/compleat-pediatric-organic-blends-plant-based" TargetMode="External"/><Relationship Id="rId4" Type="http://schemas.openxmlformats.org/officeDocument/2006/relationships/hyperlink" Target="https://www.abbottnutrition.com/our-products/elecare-jr" TargetMode="External"/><Relationship Id="rId5" Type="http://schemas.openxmlformats.org/officeDocument/2006/relationships/hyperlink" Target="https://shop.katefarms.com/products/pediatric-peptide-1-5" TargetMode="External"/><Relationship Id="rId6" Type="http://schemas.openxmlformats.org/officeDocument/2006/relationships/hyperlink" Target="https://shop.katefarms.com/products/pediatric-standard-1-2" TargetMode="External"/><Relationship Id="rId7" Type="http://schemas.openxmlformats.org/officeDocument/2006/relationships/hyperlink" Target="https://www.neocate.com/shop/hypoallergenic-formula-and-products/junior" TargetMode="External"/><Relationship Id="rId8" Type="http://schemas.openxmlformats.org/officeDocument/2006/relationships/hyperlink" Target="https://www.nestlemedicalhub.com/products/nutren-junior" TargetMode="External"/><Relationship Id="rId9" Type="http://schemas.openxmlformats.org/officeDocument/2006/relationships/hyperlink" Target="https://www.nestlemedicalhub.com/products/nutren-junior-fiber" TargetMode="External"/><Relationship Id="rId10" Type="http://schemas.openxmlformats.org/officeDocument/2006/relationships/hyperlink" Target="https://www.abbottnutrition.com/our-products/pediasure-enteral-formula-1_0-cal" TargetMode="External"/><Relationship Id="rId11" Type="http://schemas.openxmlformats.org/officeDocument/2006/relationships/hyperlink" Target="https://www.abbottnutrition.com/our-products/pediasure-grow-and-gain-shake" TargetMode="External"/><Relationship Id="rId12" Type="http://schemas.openxmlformats.org/officeDocument/2006/relationships/hyperlink" Target="https://www.abbottnutrition.com/our-products/pediasure-peptide-1_0-cal" TargetMode="External"/><Relationship Id="rId13" Type="http://schemas.openxmlformats.org/officeDocument/2006/relationships/hyperlink" Target="https://www.nestlemedicalhub.com/products/peptamen-junior" TargetMode="External"/><Relationship Id="rId14" Type="http://schemas.openxmlformats.org/officeDocument/2006/relationships/hyperlink" Target="https://www.nestlemedicalhub.com/products/peptamen-junior-15" TargetMode="External"/><Relationship Id="rId15" Type="http://schemas.openxmlformats.org/officeDocument/2006/relationships/hyperlink" Target="https://www.nestlemedicalhub.com/products/peptamen-junior-fiber" TargetMode="External"/><Relationship Id="rId16" Type="http://schemas.openxmlformats.org/officeDocument/2006/relationships/hyperlink" Target="https://hcp.meadjohnson.com/s/product/a4R4J000000PpQvUAK/puramino-j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55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E3" s="3" t="s">
        <v>2</v>
      </c>
      <c r="F3" s="4" t="s">
        <v>3</v>
      </c>
      <c r="G3" s="4" t="s">
        <v>4</v>
      </c>
      <c r="H3" s="4" t="s">
        <v>5</v>
      </c>
      <c r="I3" s="4" t="s">
        <v>6</v>
      </c>
    </row>
    <row r="4" customFormat="false" ht="15" hidden="false" customHeight="false" outlineLevel="0" collapsed="false">
      <c r="A4" s="5" t="s">
        <v>7</v>
      </c>
      <c r="B4" s="6" t="n">
        <v>10</v>
      </c>
      <c r="C4" s="0" t="s">
        <v>8</v>
      </c>
      <c r="E4" s="7" t="s">
        <v>9</v>
      </c>
      <c r="F4" s="8" t="n">
        <v>3000</v>
      </c>
      <c r="G4" s="9" t="s">
        <v>10</v>
      </c>
      <c r="H4" s="10" t="s">
        <v>11</v>
      </c>
      <c r="I4" s="9" t="s">
        <v>12</v>
      </c>
    </row>
    <row r="5" customFormat="false" ht="15" hidden="false" customHeight="false" outlineLevel="0" collapsed="false">
      <c r="A5" s="5" t="s">
        <v>13</v>
      </c>
      <c r="B5" s="6" t="n">
        <v>25</v>
      </c>
      <c r="E5" s="9"/>
      <c r="F5" s="8" t="n">
        <v>6000</v>
      </c>
      <c r="G5" s="9"/>
      <c r="H5" s="9"/>
      <c r="I5" s="9"/>
    </row>
    <row r="6" customFormat="false" ht="15" hidden="false" customHeight="false" outlineLevel="0" collapsed="false">
      <c r="A6" s="5" t="s">
        <v>14</v>
      </c>
      <c r="B6" s="6" t="n">
        <v>2000</v>
      </c>
      <c r="E6" s="9"/>
      <c r="F6" s="8" t="n">
        <v>12000</v>
      </c>
      <c r="G6" s="9"/>
      <c r="H6" s="9"/>
      <c r="I6" s="9"/>
    </row>
    <row r="7" customFormat="false" ht="15" hidden="false" customHeight="false" outlineLevel="0" collapsed="false">
      <c r="A7" s="5" t="s">
        <v>2</v>
      </c>
      <c r="B7" s="6" t="s">
        <v>9</v>
      </c>
      <c r="E7" s="9"/>
      <c r="F7" s="8" t="n">
        <v>24000</v>
      </c>
      <c r="G7" s="9"/>
      <c r="H7" s="9"/>
      <c r="I7" s="9"/>
    </row>
    <row r="8" customFormat="false" ht="15" hidden="false" customHeight="false" outlineLevel="0" collapsed="false">
      <c r="A8" s="5" t="s">
        <v>15</v>
      </c>
      <c r="B8" s="6" t="n">
        <v>12000</v>
      </c>
      <c r="E8" s="9"/>
      <c r="F8" s="8" t="n">
        <v>36000</v>
      </c>
      <c r="G8" s="9"/>
      <c r="H8" s="9"/>
      <c r="I8" s="9"/>
    </row>
    <row r="9" customFormat="false" ht="15" hidden="false" customHeight="false" outlineLevel="0" collapsed="false">
      <c r="A9" s="5" t="s">
        <v>16</v>
      </c>
      <c r="B9" s="6" t="n">
        <f aca="false">B5*B6</f>
        <v>50000</v>
      </c>
      <c r="E9" s="7" t="s">
        <v>17</v>
      </c>
      <c r="F9" s="8" t="n">
        <v>3000</v>
      </c>
      <c r="G9" s="9" t="s">
        <v>18</v>
      </c>
      <c r="H9" s="10" t="s">
        <v>19</v>
      </c>
      <c r="I9" s="9" t="s">
        <v>12</v>
      </c>
    </row>
    <row r="10" customFormat="false" ht="15" hidden="false" customHeight="false" outlineLevel="0" collapsed="false">
      <c r="A10" s="5" t="s">
        <v>20</v>
      </c>
      <c r="B10" s="6" t="n">
        <f aca="false">ROUND(B9/B8,0)</f>
        <v>4</v>
      </c>
      <c r="E10" s="9"/>
      <c r="F10" s="8" t="n">
        <v>5000</v>
      </c>
      <c r="G10" s="9"/>
      <c r="H10" s="9"/>
      <c r="I10" s="9"/>
    </row>
    <row r="11" customFormat="false" ht="15" hidden="false" customHeight="false" outlineLevel="0" collapsed="false">
      <c r="A11" s="5" t="s">
        <v>21</v>
      </c>
      <c r="B11" s="6" t="n">
        <f aca="false">B4*10000</f>
        <v>100000</v>
      </c>
      <c r="E11" s="9"/>
      <c r="F11" s="8" t="n">
        <v>10000</v>
      </c>
      <c r="G11" s="9"/>
      <c r="H11" s="9"/>
      <c r="I11" s="9"/>
    </row>
    <row r="12" customFormat="false" ht="15" hidden="false" customHeight="false" outlineLevel="0" collapsed="false">
      <c r="E12" s="9"/>
      <c r="F12" s="8" t="n">
        <v>15000</v>
      </c>
      <c r="G12" s="9"/>
      <c r="H12" s="9"/>
      <c r="I12" s="9"/>
    </row>
    <row r="13" customFormat="false" ht="15" hidden="false" customHeight="false" outlineLevel="0" collapsed="false">
      <c r="E13" s="9"/>
      <c r="F13" s="8" t="n">
        <v>20000</v>
      </c>
      <c r="G13" s="9"/>
      <c r="H13" s="9"/>
      <c r="I13" s="9"/>
    </row>
    <row r="14" customFormat="false" ht="15" hidden="false" customHeight="false" outlineLevel="0" collapsed="false">
      <c r="E14" s="9"/>
      <c r="F14" s="8" t="n">
        <v>25000</v>
      </c>
      <c r="G14" s="9"/>
      <c r="H14" s="9"/>
      <c r="I14" s="9"/>
    </row>
    <row r="15" customFormat="false" ht="15" hidden="false" customHeight="false" outlineLevel="0" collapsed="false">
      <c r="E15" s="9"/>
      <c r="F15" s="8" t="n">
        <v>40000</v>
      </c>
      <c r="G15" s="9"/>
      <c r="H15" s="9"/>
      <c r="I15" s="9"/>
    </row>
    <row r="16" customFormat="false" ht="15" hidden="false" customHeight="false" outlineLevel="0" collapsed="false">
      <c r="E16" s="9"/>
      <c r="F16" s="8" t="n">
        <v>60000</v>
      </c>
      <c r="G16" s="9"/>
      <c r="H16" s="9"/>
      <c r="I16" s="9"/>
    </row>
    <row r="17" customFormat="false" ht="15" hidden="false" customHeight="false" outlineLevel="0" collapsed="false">
      <c r="E17" s="7" t="s">
        <v>22</v>
      </c>
      <c r="F17" s="8" t="n">
        <v>2600</v>
      </c>
      <c r="G17" s="9" t="s">
        <v>23</v>
      </c>
      <c r="H17" s="10" t="s">
        <v>24</v>
      </c>
      <c r="I17" s="9" t="s">
        <v>12</v>
      </c>
    </row>
    <row r="18" customFormat="false" ht="15" hidden="false" customHeight="false" outlineLevel="0" collapsed="false">
      <c r="E18" s="9"/>
      <c r="F18" s="8" t="n">
        <v>4200</v>
      </c>
      <c r="G18" s="9"/>
      <c r="H18" s="9"/>
      <c r="I18" s="9"/>
    </row>
    <row r="19" customFormat="false" ht="15" hidden="false" customHeight="false" outlineLevel="0" collapsed="false">
      <c r="E19" s="9"/>
      <c r="F19" s="8" t="n">
        <v>10500</v>
      </c>
      <c r="G19" s="9"/>
      <c r="H19" s="9"/>
      <c r="I19" s="9"/>
    </row>
    <row r="20" customFormat="false" ht="15" hidden="false" customHeight="false" outlineLevel="0" collapsed="false">
      <c r="E20" s="9"/>
      <c r="F20" s="8" t="n">
        <v>16800</v>
      </c>
      <c r="G20" s="9"/>
      <c r="H20" s="9"/>
      <c r="I20" s="9"/>
    </row>
    <row r="21" customFormat="false" ht="15" hidden="false" customHeight="false" outlineLevel="0" collapsed="false">
      <c r="E21" s="9"/>
      <c r="F21" s="8" t="n">
        <v>21000</v>
      </c>
      <c r="G21" s="9"/>
      <c r="H21" s="9"/>
      <c r="I21" s="9"/>
    </row>
    <row r="22" customFormat="false" ht="15" hidden="false" customHeight="false" outlineLevel="0" collapsed="false">
      <c r="E22" s="9"/>
      <c r="F22" s="8" t="n">
        <v>37000</v>
      </c>
      <c r="G22" s="9"/>
      <c r="H22" s="9"/>
      <c r="I22" s="9"/>
    </row>
    <row r="23" customFormat="false" ht="15" hidden="false" customHeight="false" outlineLevel="0" collapsed="false">
      <c r="E23" s="7" t="s">
        <v>25</v>
      </c>
      <c r="F23" s="8" t="n">
        <v>4000</v>
      </c>
      <c r="G23" s="9" t="s">
        <v>26</v>
      </c>
      <c r="H23" s="10" t="s">
        <v>27</v>
      </c>
      <c r="I23" s="9" t="s">
        <v>12</v>
      </c>
    </row>
    <row r="24" customFormat="false" ht="15" hidden="false" customHeight="false" outlineLevel="0" collapsed="false">
      <c r="E24" s="9"/>
      <c r="F24" s="8" t="n">
        <v>8000</v>
      </c>
      <c r="G24" s="9"/>
      <c r="H24" s="9"/>
      <c r="I24" s="9"/>
    </row>
    <row r="25" customFormat="false" ht="15" hidden="false" customHeight="false" outlineLevel="0" collapsed="false">
      <c r="E25" s="9"/>
      <c r="F25" s="8" t="n">
        <v>16000</v>
      </c>
      <c r="G25" s="9"/>
      <c r="H25" s="9"/>
      <c r="I25" s="9"/>
    </row>
    <row r="26" customFormat="false" ht="15" hidden="false" customHeight="false" outlineLevel="0" collapsed="false">
      <c r="E26" s="9"/>
      <c r="F26" s="8" t="n">
        <v>24000</v>
      </c>
      <c r="G26" s="9"/>
      <c r="H26" s="9"/>
      <c r="I26" s="9"/>
    </row>
    <row r="27" customFormat="false" ht="15" hidden="false" customHeight="false" outlineLevel="0" collapsed="false">
      <c r="E27" s="7" t="s">
        <v>28</v>
      </c>
      <c r="F27" s="8" t="n">
        <v>10440</v>
      </c>
      <c r="G27" s="9" t="s">
        <v>29</v>
      </c>
      <c r="H27" s="10" t="s">
        <v>30</v>
      </c>
      <c r="I27" s="9" t="s">
        <v>12</v>
      </c>
    </row>
    <row r="28" customFormat="false" ht="15" hidden="false" customHeight="false" outlineLevel="0" collapsed="false">
      <c r="E28" s="9"/>
      <c r="F28" s="8" t="n">
        <v>20880</v>
      </c>
      <c r="G28" s="9"/>
      <c r="H28" s="9"/>
      <c r="I28" s="9"/>
    </row>
    <row r="30" customFormat="false" ht="15" hidden="false" customHeight="false" outlineLevel="0" collapsed="false">
      <c r="E30" s="5" t="s">
        <v>31</v>
      </c>
    </row>
    <row r="31" customFormat="false" ht="15" hidden="false" customHeight="false" outlineLevel="0" collapsed="false">
      <c r="E31" s="6" t="n">
        <v>500</v>
      </c>
    </row>
    <row r="32" customFormat="false" ht="15" hidden="false" customHeight="false" outlineLevel="0" collapsed="false">
      <c r="E32" s="6" t="n">
        <v>1000</v>
      </c>
    </row>
    <row r="33" customFormat="false" ht="15" hidden="false" customHeight="false" outlineLevel="0" collapsed="false">
      <c r="E33" s="6" t="n">
        <v>2000</v>
      </c>
    </row>
    <row r="34" customFormat="false" ht="15" hidden="false" customHeight="false" outlineLevel="0" collapsed="false">
      <c r="E34" s="6" t="n">
        <v>4000</v>
      </c>
    </row>
    <row r="36" customFormat="false" ht="15" hidden="false" customHeight="false" outlineLevel="0" collapsed="false">
      <c r="E36" s="5" t="s">
        <v>32</v>
      </c>
    </row>
    <row r="37" customFormat="false" ht="15" hidden="false" customHeight="false" outlineLevel="0" collapsed="false">
      <c r="E37" s="0" t="s">
        <v>33</v>
      </c>
      <c r="H37" s="11" t="s">
        <v>34</v>
      </c>
    </row>
    <row r="38" customFormat="false" ht="15" hidden="false" customHeight="false" outlineLevel="0" collapsed="false">
      <c r="E38" s="0" t="s">
        <v>35</v>
      </c>
      <c r="H38" s="11" t="s">
        <v>36</v>
      </c>
    </row>
    <row r="39" customFormat="false" ht="15" hidden="false" customHeight="false" outlineLevel="0" collapsed="false">
      <c r="E39" s="0" t="s">
        <v>37</v>
      </c>
      <c r="H39" s="11" t="s">
        <v>38</v>
      </c>
    </row>
  </sheetData>
  <hyperlinks>
    <hyperlink ref="H4" r:id="rId1" display="https://dailymed.nlm.nih.gov/dailymed/drugInfo.cfm?setid=073201aa-556d-4a70-918e-84e9616fd88d"/>
    <hyperlink ref="H9" r:id="rId2" display="https://dailymed.nlm.nih.gov/dailymed/drugInfo.cfm?setid=7f16f2d4-8df6-4bd7-ac10-56994fa257b0"/>
    <hyperlink ref="H17" r:id="rId3" display="https://dailymed.nlm.nih.gov/dailymed/drugInfo.cfm?setid=e8f5d2fe-728d-42af-99a6-83dddc6539c5"/>
    <hyperlink ref="H23" r:id="rId4" display="https://dailymed.nlm.nih.gov/dailymed/drugInfo.cfm?setid=481eec00-9abf-11dd-b71c-0002a5d5c51b"/>
    <hyperlink ref="H27" r:id="rId5" display="https://dailymed.nlm.nih.gov/dailymed/drugInfo.cfm?setid=58bdb8de-582d-44e6-9b72-8d5a42fdf501"/>
    <hyperlink ref="H37" r:id="rId6" display="https://www.ncbi.nlm.nih.gov/books/NBK534816/"/>
    <hyperlink ref="H38" r:id="rId7" display="https://www.cff.org/medical-professionals/pancreatic-enzymes-clinical-care-guidelines"/>
    <hyperlink ref="H39" r:id="rId8" display="https://pmc.ncbi.nlm.nih.gov/articles/PMC6923524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6"/>
    <col collapsed="false" customWidth="true" hidden="false" outlineLevel="0" max="5" min="5" style="0" width="5"/>
    <col collapsed="false" customWidth="true" hidden="false" outlineLevel="0" max="6" min="6" style="0" width="38"/>
    <col collapsed="false" customWidth="true" hidden="false" outlineLevel="0" max="7" min="7" style="0" width="12"/>
    <col collapsed="false" customWidth="true" hidden="false" outlineLevel="0" max="8" min="8" style="0" width="24"/>
    <col collapsed="false" customWidth="true" hidden="false" outlineLevel="0" max="9" min="9" style="0" width="55"/>
    <col collapsed="false" customWidth="true" hidden="false" outlineLevel="0" max="10" min="10" style="0" width="12"/>
  </cols>
  <sheetData>
    <row r="1" customFormat="false" ht="19.7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3" customFormat="false" ht="15" hidden="false" customHeight="false" outlineLevel="0" collapsed="false">
      <c r="E3" s="4" t="s">
        <v>41</v>
      </c>
      <c r="F3" s="4" t="s">
        <v>42</v>
      </c>
      <c r="G3" s="4" t="s">
        <v>43</v>
      </c>
      <c r="H3" s="4" t="s">
        <v>44</v>
      </c>
      <c r="I3" s="4" t="s">
        <v>5</v>
      </c>
      <c r="J3" s="4" t="s">
        <v>6</v>
      </c>
    </row>
    <row r="4" customFormat="false" ht="15" hidden="false" customHeight="false" outlineLevel="0" collapsed="false">
      <c r="A4" s="5" t="s">
        <v>7</v>
      </c>
      <c r="B4" s="6" t="n">
        <v>15</v>
      </c>
      <c r="C4" s="0" t="s">
        <v>8</v>
      </c>
      <c r="E4" s="12" t="n">
        <v>1</v>
      </c>
      <c r="F4" s="13" t="s">
        <v>45</v>
      </c>
      <c r="G4" s="12" t="n">
        <v>44</v>
      </c>
      <c r="H4" s="13" t="s">
        <v>46</v>
      </c>
      <c r="I4" s="14" t="s">
        <v>47</v>
      </c>
      <c r="J4" s="13" t="s">
        <v>12</v>
      </c>
    </row>
    <row r="5" customFormat="false" ht="15" hidden="false" customHeight="false" outlineLevel="0" collapsed="false">
      <c r="A5" s="5" t="s">
        <v>48</v>
      </c>
      <c r="B5" s="6" t="s">
        <v>49</v>
      </c>
      <c r="E5" s="12" t="n">
        <v>2</v>
      </c>
      <c r="F5" s="13" t="s">
        <v>50</v>
      </c>
      <c r="G5" s="12" t="n">
        <v>38</v>
      </c>
      <c r="H5" s="13" t="s">
        <v>46</v>
      </c>
      <c r="I5" s="14" t="s">
        <v>51</v>
      </c>
      <c r="J5" s="13" t="s">
        <v>12</v>
      </c>
    </row>
    <row r="6" customFormat="false" ht="15" hidden="false" customHeight="false" outlineLevel="0" collapsed="false">
      <c r="A6" s="5" t="s">
        <v>43</v>
      </c>
      <c r="B6" s="6" t="n">
        <v>48</v>
      </c>
      <c r="E6" s="12" t="n">
        <v>3</v>
      </c>
      <c r="F6" s="13" t="s">
        <v>52</v>
      </c>
      <c r="G6" s="12" t="n">
        <v>53</v>
      </c>
      <c r="H6" s="13" t="s">
        <v>46</v>
      </c>
      <c r="I6" s="14" t="s">
        <v>53</v>
      </c>
      <c r="J6" s="13" t="s">
        <v>12</v>
      </c>
    </row>
    <row r="7" customFormat="false" ht="15" hidden="false" customHeight="false" outlineLevel="0" collapsed="false">
      <c r="A7" s="5" t="s">
        <v>54</v>
      </c>
      <c r="B7" s="6" t="n">
        <v>1500</v>
      </c>
      <c r="E7" s="12" t="n">
        <v>4</v>
      </c>
      <c r="F7" s="13" t="s">
        <v>55</v>
      </c>
      <c r="G7" s="12" t="n">
        <v>47</v>
      </c>
      <c r="H7" s="13" t="s">
        <v>56</v>
      </c>
      <c r="I7" s="14" t="s">
        <v>57</v>
      </c>
      <c r="J7" s="13" t="s">
        <v>12</v>
      </c>
    </row>
    <row r="8" customFormat="false" ht="15" hidden="false" customHeight="false" outlineLevel="0" collapsed="false">
      <c r="A8" s="5" t="s">
        <v>58</v>
      </c>
      <c r="B8" s="6" t="n">
        <f aca="false">ROUND(B6*B7/1000,1)</f>
        <v>72</v>
      </c>
      <c r="E8" s="15" t="n">
        <v>5</v>
      </c>
      <c r="F8" s="16" t="s">
        <v>59</v>
      </c>
      <c r="G8" s="15" t="n">
        <v>45</v>
      </c>
      <c r="H8" s="16" t="s">
        <v>60</v>
      </c>
      <c r="I8" s="17" t="s">
        <v>61</v>
      </c>
      <c r="J8" s="16"/>
    </row>
    <row r="9" customFormat="false" ht="15" hidden="false" customHeight="false" outlineLevel="0" collapsed="false">
      <c r="A9" s="5" t="s">
        <v>14</v>
      </c>
      <c r="B9" s="6" t="n">
        <v>2500</v>
      </c>
      <c r="E9" s="12" t="n">
        <v>6</v>
      </c>
      <c r="F9" s="13" t="s">
        <v>62</v>
      </c>
      <c r="G9" s="12" t="n">
        <v>68</v>
      </c>
      <c r="H9" s="13" t="s">
        <v>63</v>
      </c>
      <c r="I9" s="14" t="s">
        <v>64</v>
      </c>
      <c r="J9" s="13" t="s">
        <v>12</v>
      </c>
    </row>
    <row r="10" customFormat="false" ht="15" hidden="false" customHeight="false" outlineLevel="0" collapsed="false">
      <c r="A10" s="5" t="s">
        <v>2</v>
      </c>
      <c r="B10" s="6" t="s">
        <v>22</v>
      </c>
      <c r="E10" s="12" t="n">
        <v>7</v>
      </c>
      <c r="F10" s="13" t="s">
        <v>49</v>
      </c>
      <c r="G10" s="12" t="n">
        <v>48</v>
      </c>
      <c r="H10" s="13" t="s">
        <v>63</v>
      </c>
      <c r="I10" s="14" t="s">
        <v>65</v>
      </c>
      <c r="J10" s="13" t="s">
        <v>12</v>
      </c>
    </row>
    <row r="11" customFormat="false" ht="15" hidden="false" customHeight="false" outlineLevel="0" collapsed="false">
      <c r="A11" s="5" t="s">
        <v>15</v>
      </c>
      <c r="B11" s="6" t="n">
        <v>37000</v>
      </c>
      <c r="E11" s="12" t="n">
        <v>8</v>
      </c>
      <c r="F11" s="13" t="s">
        <v>66</v>
      </c>
      <c r="G11" s="12" t="n">
        <v>50</v>
      </c>
      <c r="H11" s="13" t="s">
        <v>67</v>
      </c>
      <c r="I11" s="14" t="s">
        <v>68</v>
      </c>
      <c r="J11" s="13" t="s">
        <v>12</v>
      </c>
    </row>
    <row r="12" customFormat="false" ht="15" hidden="false" customHeight="false" outlineLevel="0" collapsed="false">
      <c r="A12" s="5" t="s">
        <v>16</v>
      </c>
      <c r="B12" s="6" t="n">
        <f aca="false">B8*B9</f>
        <v>180000</v>
      </c>
      <c r="E12" s="12" t="n">
        <v>9</v>
      </c>
      <c r="F12" s="13" t="s">
        <v>69</v>
      </c>
      <c r="G12" s="12" t="n">
        <v>48</v>
      </c>
      <c r="H12" s="13" t="s">
        <v>46</v>
      </c>
      <c r="I12" s="14" t="s">
        <v>70</v>
      </c>
      <c r="J12" s="13" t="s">
        <v>12</v>
      </c>
    </row>
    <row r="13" customFormat="false" ht="15" hidden="false" customHeight="false" outlineLevel="0" collapsed="false">
      <c r="A13" s="5" t="s">
        <v>71</v>
      </c>
      <c r="B13" s="6" t="n">
        <f aca="false">ROUND(B12/B4,0)</f>
        <v>12000</v>
      </c>
      <c r="E13" s="12" t="n">
        <v>10</v>
      </c>
      <c r="F13" s="13" t="s">
        <v>72</v>
      </c>
      <c r="G13" s="12" t="n">
        <v>48</v>
      </c>
      <c r="H13" s="13" t="s">
        <v>46</v>
      </c>
      <c r="I13" s="14" t="s">
        <v>73</v>
      </c>
      <c r="J13" s="13" t="s">
        <v>12</v>
      </c>
    </row>
    <row r="14" customFormat="false" ht="15" hidden="false" customHeight="false" outlineLevel="0" collapsed="false">
      <c r="A14" s="5" t="s">
        <v>74</v>
      </c>
      <c r="B14" s="6" t="n">
        <f aca="false">ROUND(B12/B11,0)</f>
        <v>5</v>
      </c>
      <c r="E14" s="12" t="n">
        <v>11</v>
      </c>
      <c r="F14" s="13" t="s">
        <v>75</v>
      </c>
      <c r="G14" s="12" t="n">
        <v>38</v>
      </c>
      <c r="H14" s="13" t="s">
        <v>56</v>
      </c>
      <c r="I14" s="14" t="s">
        <v>76</v>
      </c>
      <c r="J14" s="13" t="s">
        <v>12</v>
      </c>
    </row>
    <row r="15" customFormat="false" ht="15" hidden="false" customHeight="false" outlineLevel="0" collapsed="false">
      <c r="A15" s="5" t="s">
        <v>77</v>
      </c>
      <c r="B15" s="6" t="n">
        <f aca="false">B14*30</f>
        <v>150</v>
      </c>
      <c r="E15" s="12" t="n">
        <v>12</v>
      </c>
      <c r="F15" s="13" t="s">
        <v>78</v>
      </c>
      <c r="G15" s="12" t="n">
        <v>38</v>
      </c>
      <c r="H15" s="13" t="s">
        <v>56</v>
      </c>
      <c r="I15" s="14" t="s">
        <v>79</v>
      </c>
      <c r="J15" s="13" t="s">
        <v>12</v>
      </c>
    </row>
    <row r="16" customFormat="false" ht="15" hidden="false" customHeight="false" outlineLevel="0" collapsed="false">
      <c r="E16" s="12" t="n">
        <v>13</v>
      </c>
      <c r="F16" s="13" t="s">
        <v>80</v>
      </c>
      <c r="G16" s="12" t="n">
        <v>41</v>
      </c>
      <c r="H16" s="13" t="s">
        <v>56</v>
      </c>
      <c r="I16" s="14" t="s">
        <v>81</v>
      </c>
      <c r="J16" s="13" t="s">
        <v>12</v>
      </c>
    </row>
    <row r="17" customFormat="false" ht="15" hidden="false" customHeight="false" outlineLevel="0" collapsed="false">
      <c r="E17" s="12" t="n">
        <v>14</v>
      </c>
      <c r="F17" s="13" t="s">
        <v>82</v>
      </c>
      <c r="G17" s="12" t="n">
        <v>38</v>
      </c>
      <c r="H17" s="13" t="s">
        <v>46</v>
      </c>
      <c r="I17" s="14" t="s">
        <v>83</v>
      </c>
      <c r="J17" s="13" t="s">
        <v>12</v>
      </c>
    </row>
    <row r="18" customFormat="false" ht="15" hidden="false" customHeight="false" outlineLevel="0" collapsed="false">
      <c r="E18" s="12" t="n">
        <v>15</v>
      </c>
      <c r="F18" s="13" t="s">
        <v>84</v>
      </c>
      <c r="G18" s="12" t="n">
        <v>68</v>
      </c>
      <c r="H18" s="13" t="s">
        <v>46</v>
      </c>
      <c r="I18" s="14" t="s">
        <v>85</v>
      </c>
      <c r="J18" s="13" t="s">
        <v>12</v>
      </c>
    </row>
    <row r="19" customFormat="false" ht="15" hidden="false" customHeight="false" outlineLevel="0" collapsed="false">
      <c r="E19" s="12" t="n">
        <v>16</v>
      </c>
      <c r="F19" s="13" t="s">
        <v>86</v>
      </c>
      <c r="G19" s="12" t="n">
        <v>38</v>
      </c>
      <c r="H19" s="13" t="s">
        <v>46</v>
      </c>
      <c r="I19" s="14" t="s">
        <v>87</v>
      </c>
      <c r="J19" s="13" t="s">
        <v>12</v>
      </c>
    </row>
    <row r="20" customFormat="false" ht="15" hidden="false" customHeight="false" outlineLevel="0" collapsed="false">
      <c r="E20" s="12" t="n">
        <v>17</v>
      </c>
      <c r="F20" s="13" t="s">
        <v>88</v>
      </c>
      <c r="G20" s="12" t="n">
        <v>51</v>
      </c>
      <c r="H20" s="13" t="s">
        <v>89</v>
      </c>
      <c r="I20" s="14" t="s">
        <v>90</v>
      </c>
      <c r="J20" s="13" t="s">
        <v>12</v>
      </c>
    </row>
    <row r="22" customFormat="false" ht="15" hidden="false" customHeight="false" outlineLevel="0" collapsed="false">
      <c r="F22" s="18" t="s">
        <v>91</v>
      </c>
      <c r="G22" s="0" t="n">
        <f aca="false">COUNTA(F4:F20)</f>
        <v>17</v>
      </c>
    </row>
  </sheetData>
  <hyperlinks>
    <hyperlink ref="I4" r:id="rId1" display="https://www.nestlemedicalhub.com/products/alfamino-junior"/>
    <hyperlink ref="I5" r:id="rId2" display="https://www.nestlemedicalhub.com/products/compleat-pediatric"/>
    <hyperlink ref="I6" r:id="rId3" display="https://www.nestlemedicalhub.com/products/compleat-pediatric-organic-blends-plant-based"/>
    <hyperlink ref="I7" r:id="rId4" display="https://www.abbottnutrition.com/our-products/elecare-jr"/>
    <hyperlink ref="I9" r:id="rId5" display="https://shop.katefarms.com/products/pediatric-peptide-1-5"/>
    <hyperlink ref="I10" r:id="rId6" display="https://shop.katefarms.com/products/pediatric-standard-1-2"/>
    <hyperlink ref="I11" r:id="rId7" display="https://www.neocate.com/shop/hypoallergenic-formula-and-products/junior"/>
    <hyperlink ref="I12" r:id="rId8" display="https://www.nestlemedicalhub.com/products/nutren-junior"/>
    <hyperlink ref="I13" r:id="rId9" display="https://www.nestlemedicalhub.com/products/nutren-junior-fiber"/>
    <hyperlink ref="I14" r:id="rId10" display="https://www.abbottnutrition.com/our-products/pediasure-enteral-formula-1_0-cal"/>
    <hyperlink ref="I15" r:id="rId11" display="https://www.abbottnutrition.com/our-products/pediasure-grow-and-gain-shake"/>
    <hyperlink ref="I16" r:id="rId12" display="https://www.abbottnutrition.com/our-products/pediasure-peptide-1_0-cal"/>
    <hyperlink ref="I17" r:id="rId13" display="https://www.nestlemedicalhub.com/products/peptamen-junior"/>
    <hyperlink ref="I18" r:id="rId14" display="https://www.nestlemedicalhub.com/products/peptamen-junior-15"/>
    <hyperlink ref="I19" r:id="rId15" display="https://www.nestlemedicalhub.com/products/peptamen-junior-fiber"/>
    <hyperlink ref="I20" r:id="rId16" display="https://hcp.meadjohnson.com/s/product/a4R4J000000PpQvUAK/puramino-j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9" t="s">
        <v>92</v>
      </c>
    </row>
    <row r="3" customFormat="false" ht="15" hidden="false" customHeight="false" outlineLevel="0" collapsed="false">
      <c r="A3" s="4" t="s">
        <v>93</v>
      </c>
      <c r="B3" s="4" t="s">
        <v>94</v>
      </c>
      <c r="C3" s="4" t="s">
        <v>95</v>
      </c>
    </row>
    <row r="4" customFormat="false" ht="15" hidden="false" customHeight="false" outlineLevel="0" collapsed="false">
      <c r="A4" s="9" t="s">
        <v>12</v>
      </c>
      <c r="B4" s="9" t="s">
        <v>96</v>
      </c>
      <c r="C4" s="9" t="s">
        <v>97</v>
      </c>
    </row>
    <row r="5" customFormat="false" ht="15" hidden="false" customHeight="false" outlineLevel="0" collapsed="false">
      <c r="A5" s="9" t="s">
        <v>12</v>
      </c>
      <c r="B5" s="9" t="s">
        <v>98</v>
      </c>
      <c r="C5" s="9" t="s">
        <v>97</v>
      </c>
    </row>
    <row r="6" customFormat="false" ht="15" hidden="false" customHeight="false" outlineLevel="0" collapsed="false">
      <c r="A6" s="9" t="s">
        <v>12</v>
      </c>
      <c r="B6" s="9" t="s">
        <v>99</v>
      </c>
      <c r="C6" s="9" t="s">
        <v>97</v>
      </c>
    </row>
    <row r="7" customFormat="false" ht="15" hidden="false" customHeight="false" outlineLevel="0" collapsed="false">
      <c r="A7" s="9" t="s">
        <v>12</v>
      </c>
      <c r="B7" s="9" t="s">
        <v>100</v>
      </c>
      <c r="C7" s="9" t="s">
        <v>101</v>
      </c>
    </row>
    <row r="8" customFormat="false" ht="15" hidden="false" customHeight="false" outlineLevel="0" collapsed="false">
      <c r="A8" s="9" t="s">
        <v>12</v>
      </c>
      <c r="B8" s="9" t="s">
        <v>102</v>
      </c>
      <c r="C8" s="9" t="s">
        <v>103</v>
      </c>
    </row>
    <row r="9" customFormat="false" ht="15" hidden="false" customHeight="false" outlineLevel="0" collapsed="false">
      <c r="A9" s="9" t="s">
        <v>12</v>
      </c>
      <c r="B9" s="9" t="s">
        <v>104</v>
      </c>
      <c r="C9" s="9" t="s">
        <v>56</v>
      </c>
    </row>
    <row r="10" customFormat="false" ht="15" hidden="false" customHeight="false" outlineLevel="0" collapsed="false">
      <c r="A10" s="9" t="s">
        <v>12</v>
      </c>
      <c r="B10" s="9" t="s">
        <v>105</v>
      </c>
      <c r="C10" s="9" t="s">
        <v>56</v>
      </c>
    </row>
    <row r="11" customFormat="false" ht="15" hidden="false" customHeight="false" outlineLevel="0" collapsed="false">
      <c r="A11" s="9" t="s">
        <v>12</v>
      </c>
      <c r="B11" s="9" t="s">
        <v>106</v>
      </c>
      <c r="C11" s="9" t="s">
        <v>56</v>
      </c>
    </row>
    <row r="12" customFormat="false" ht="15" hidden="false" customHeight="false" outlineLevel="0" collapsed="false">
      <c r="A12" s="9" t="s">
        <v>12</v>
      </c>
      <c r="B12" s="9" t="s">
        <v>107</v>
      </c>
      <c r="C12" s="9" t="s">
        <v>46</v>
      </c>
    </row>
    <row r="13" customFormat="false" ht="15" hidden="false" customHeight="false" outlineLevel="0" collapsed="false">
      <c r="A13" s="9" t="s">
        <v>12</v>
      </c>
      <c r="B13" s="9" t="s">
        <v>108</v>
      </c>
      <c r="C13" s="9" t="s">
        <v>63</v>
      </c>
    </row>
    <row r="14" customFormat="false" ht="15" hidden="false" customHeight="false" outlineLevel="0" collapsed="false">
      <c r="A14" s="9" t="s">
        <v>12</v>
      </c>
      <c r="B14" s="9" t="s">
        <v>109</v>
      </c>
      <c r="C14" s="9" t="s">
        <v>63</v>
      </c>
    </row>
    <row r="15" customFormat="false" ht="15" hidden="false" customHeight="false" outlineLevel="0" collapsed="false">
      <c r="A15" s="9" t="s">
        <v>12</v>
      </c>
      <c r="B15" s="9" t="s">
        <v>110</v>
      </c>
      <c r="C15" s="9" t="s">
        <v>46</v>
      </c>
    </row>
    <row r="16" customFormat="false" ht="15" hidden="false" customHeight="false" outlineLevel="0" collapsed="false">
      <c r="A16" s="9" t="s">
        <v>12</v>
      </c>
      <c r="B16" s="9" t="s">
        <v>111</v>
      </c>
      <c r="C16" s="9" t="s">
        <v>46</v>
      </c>
    </row>
    <row r="17" customFormat="false" ht="15" hidden="false" customHeight="false" outlineLevel="0" collapsed="false">
      <c r="A17" s="9" t="s">
        <v>12</v>
      </c>
      <c r="B17" s="9" t="s">
        <v>112</v>
      </c>
      <c r="C17" s="9" t="s">
        <v>46</v>
      </c>
    </row>
    <row r="18" customFormat="false" ht="15" hidden="false" customHeight="false" outlineLevel="0" collapsed="false">
      <c r="A18" s="9" t="s">
        <v>12</v>
      </c>
      <c r="B18" s="9" t="s">
        <v>113</v>
      </c>
      <c r="C18" s="9" t="s">
        <v>56</v>
      </c>
    </row>
    <row r="19" customFormat="false" ht="15" hidden="false" customHeight="false" outlineLevel="0" collapsed="false">
      <c r="A19" s="9" t="s">
        <v>12</v>
      </c>
      <c r="B19" s="9" t="s">
        <v>114</v>
      </c>
      <c r="C19" s="9" t="s">
        <v>67</v>
      </c>
    </row>
    <row r="20" customFormat="false" ht="15" hidden="false" customHeight="false" outlineLevel="0" collapsed="false">
      <c r="A20" s="9" t="s">
        <v>12</v>
      </c>
      <c r="B20" s="9" t="s">
        <v>115</v>
      </c>
      <c r="C20" s="9" t="s">
        <v>46</v>
      </c>
    </row>
    <row r="21" customFormat="false" ht="15" hidden="false" customHeight="false" outlineLevel="0" collapsed="false">
      <c r="A21" s="9" t="s">
        <v>12</v>
      </c>
      <c r="B21" s="9" t="s">
        <v>116</v>
      </c>
      <c r="C21" s="9" t="s">
        <v>117</v>
      </c>
    </row>
    <row r="22" customFormat="false" ht="15" hidden="false" customHeight="false" outlineLevel="0" collapsed="false">
      <c r="A22" s="9" t="s">
        <v>12</v>
      </c>
      <c r="B22" s="9" t="s">
        <v>118</v>
      </c>
      <c r="C22" s="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2026-04-02T16:42:44Z</dcterms:created>
  <dc:creator>openpyxl</dc:creator>
  <dc:description/>
  <dc:language>en-US</dc:language>
  <cp:lastModifiedBy/>
  <dcterms:modified xsi:type="dcterms:W3CDTF">2026-04-02T16:42:44Z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